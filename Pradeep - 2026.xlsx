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- 2026" sheetId="1" r:id="rId5"/>
    <sheet state="visible" name="July - 2026" sheetId="2" r:id="rId6"/>
  </sheets>
  <definedNames/>
  <calcPr/>
</workbook>
</file>

<file path=xl/sharedStrings.xml><?xml version="1.0" encoding="utf-8"?>
<sst xmlns="http://schemas.openxmlformats.org/spreadsheetml/2006/main" count="593" uniqueCount="114">
  <si>
    <t>Task Priority</t>
  </si>
  <si>
    <t xml:space="preserve">Tasks </t>
  </si>
  <si>
    <t>Completed</t>
  </si>
  <si>
    <t>In-Progress</t>
  </si>
  <si>
    <t>task assign</t>
  </si>
  <si>
    <t>Medium</t>
  </si>
  <si>
    <t>connected with my team explained LMS backed the and connected with kuberan to integrate lms</t>
  </si>
  <si>
    <t>Low</t>
  </si>
  <si>
    <t>meet</t>
  </si>
  <si>
    <t>High</t>
  </si>
  <si>
    <t>working on the lms admin potal backend</t>
  </si>
  <si>
    <t>working on the lms admin potal api integration with kuberan</t>
  </si>
  <si>
    <t>task assign and checking up the projects</t>
  </si>
  <si>
    <t>lms api integration with kuberan and developing new api accoding to kuberan's request</t>
  </si>
  <si>
    <t>revivew the works and connect the api integration and review errors</t>
  </si>
  <si>
    <t>lms api integration and help kuberan integrate backend and frontend</t>
  </si>
  <si>
    <t>lms new api creation such as assignment and test</t>
  </si>
  <si>
    <t>task assign and intro to follei with the team</t>
  </si>
  <si>
    <t>lms api integration and new DB Schema integration</t>
  </si>
  <si>
    <t>integrating the api on lms</t>
  </si>
  <si>
    <t>review thw works and integrating the apis</t>
  </si>
  <si>
    <t>meet and countinue the lms work</t>
  </si>
  <si>
    <t>review the works and assiging the task</t>
  </si>
  <si>
    <t>working on the lms api integration</t>
  </si>
  <si>
    <t>SUNDAY</t>
  </si>
  <si>
    <t>working on lms api integration and assist with kuberan</t>
  </si>
  <si>
    <t>review the works and explain about flow of new onboarding flow for folleu to interns</t>
  </si>
  <si>
    <t>lms integration</t>
  </si>
  <si>
    <t>lms api integration</t>
  </si>
  <si>
    <t>lms api integration and review the works</t>
  </si>
  <si>
    <t>lms</t>
  </si>
  <si>
    <t>lms api integration and planning for follei RAG systems and assign the task to everyone</t>
  </si>
  <si>
    <t xml:space="preserve">connect with syed and plan MCPs </t>
  </si>
  <si>
    <t>review the backend and host it</t>
  </si>
  <si>
    <t>review the works and lms api integration</t>
  </si>
  <si>
    <t>13/06/2026</t>
  </si>
  <si>
    <t>checking the lms api data missing and error and then not connected api list</t>
  </si>
  <si>
    <t>connecting the pending api and take list for student pending api data list</t>
  </si>
  <si>
    <t>14/06/2026</t>
  </si>
  <si>
    <t>15/06/2026</t>
  </si>
  <si>
    <t>task assign and lms</t>
  </si>
  <si>
    <t>task assign connecting the pending api and take list for instructor pending api data list</t>
  </si>
  <si>
    <t>connecting the pending api and take list for admin pending api data list</t>
  </si>
  <si>
    <t>16/06/2026</t>
  </si>
  <si>
    <t>task assign and explain the follei flow</t>
  </si>
  <si>
    <t>creating the new folder structure for follei and link to git hub and create new RAG chnages on follei</t>
  </si>
  <si>
    <t>Fixing The Rag for the follei and asigned backend to interns</t>
  </si>
  <si>
    <t>17/06/2026</t>
  </si>
  <si>
    <t>review the works and task assign to ervery one</t>
  </si>
  <si>
    <t>Review the backend code and merging</t>
  </si>
  <si>
    <t>fixing the some issues on lms and backend api url change</t>
  </si>
  <si>
    <t>basic miagrations and docker containers creation</t>
  </si>
  <si>
    <t>working on leads api</t>
  </si>
  <si>
    <t>18/06/2026(17&amp;18 night shift)</t>
  </si>
  <si>
    <t>working in miagrating FOLLEI to the office pc and merge te backend and frontend and create docker containers</t>
  </si>
  <si>
    <t>18/06/2026</t>
  </si>
  <si>
    <t>COMPENSATION FOR PREVIOUS DAY NIGHT SHIFT</t>
  </si>
  <si>
    <t>19/06/2026</t>
  </si>
  <si>
    <t>merging the files and checking the correction on yesteday task pages</t>
  </si>
  <si>
    <t>implementing MCPS</t>
  </si>
  <si>
    <t>working on LMS updates</t>
  </si>
  <si>
    <t>20/06/2026</t>
  </si>
  <si>
    <t>review interns code with naveen</t>
  </si>
  <si>
    <t>review session with interns and a meet with naveen sir</t>
  </si>
  <si>
    <t>implementing syed's MCPs AND WORKING ON THEM</t>
  </si>
  <si>
    <t>22/06/2026</t>
  </si>
  <si>
    <t>review interns code with rajdeep and meet</t>
  </si>
  <si>
    <t>implementing new api and created new two users in LMS coireiand super admin</t>
  </si>
  <si>
    <t>rviewing the backend code and fincing issues assiged to syed and vijayalaksmi</t>
  </si>
  <si>
    <t xml:space="preserve">cms work started </t>
  </si>
  <si>
    <t>23/06/2026</t>
  </si>
  <si>
    <t xml:space="preserve">work on lms remaining API and fixed a DB error </t>
  </si>
  <si>
    <t>implementating cms in lms</t>
  </si>
  <si>
    <t>Fixing follei</t>
  </si>
  <si>
    <t>rviewing codes</t>
  </si>
  <si>
    <t>24/06/2026</t>
  </si>
  <si>
    <t>work on lms new api and review</t>
  </si>
  <si>
    <t>follei models</t>
  </si>
  <si>
    <t>25/06/2026</t>
  </si>
  <si>
    <t>LMS Error debugging</t>
  </si>
  <si>
    <t>26/06/2026</t>
  </si>
  <si>
    <t>implementating in new apis in folllei</t>
  </si>
  <si>
    <t>follei integration</t>
  </si>
  <si>
    <t>crm integration</t>
  </si>
  <si>
    <t xml:space="preserve">In-Progress </t>
  </si>
  <si>
    <t>implementating in new apis in follei, rag working</t>
  </si>
  <si>
    <t>27/06/2026</t>
  </si>
  <si>
    <t>folei code miagration and merging started</t>
  </si>
  <si>
    <t>crm in follei</t>
  </si>
  <si>
    <t>28/06/2026</t>
  </si>
  <si>
    <t>LMS miagration and merging started</t>
  </si>
  <si>
    <t>lms database issue resolved</t>
  </si>
  <si>
    <t>LMS DB UPDATING</t>
  </si>
  <si>
    <t>rviewing codes and tasks</t>
  </si>
  <si>
    <t>29/06/2026</t>
  </si>
  <si>
    <t>follei new updates and calls porviding research</t>
  </si>
  <si>
    <t>mails and sms finished</t>
  </si>
  <si>
    <t xml:space="preserve">whsatsapp working </t>
  </si>
  <si>
    <t>30/06/2026</t>
  </si>
  <si>
    <t>LMS Integration with frontend and plan based security added</t>
  </si>
  <si>
    <t>lms mails fuinction created</t>
  </si>
  <si>
    <t>lms login mail updates added</t>
  </si>
  <si>
    <t>Date</t>
  </si>
  <si>
    <t>Check - In 
Time</t>
  </si>
  <si>
    <t>Check - Out
Time</t>
  </si>
  <si>
    <t>Task</t>
  </si>
  <si>
    <t>Task Start Time</t>
  </si>
  <si>
    <t>Task End Time</t>
  </si>
  <si>
    <t>Hours</t>
  </si>
  <si>
    <t>Notes</t>
  </si>
  <si>
    <t>Task Progress</t>
  </si>
  <si>
    <t>Blocker's
(if so, How many and what are they)</t>
  </si>
  <si>
    <t>Status</t>
  </si>
  <si>
    <t>meet with aloha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</si>
</sst>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h:mm:ss am/pm"/>
    <numFmt numFmtId="166" formatCode="dd/mm/yyyy"/>
    <numFmt numFmtId="167" formatCode="HH:mm:ss"/>
  </numFmts>
  <fonts count="11">
    <font>
      <sz val="10.0"/>
      <color rgb="FF000000"/>
      <name val="Arial"/>
      <scheme val="minor"/>
    </font>
    <font>
      <color theme="1"/>
      <name val="Arial"/>
    </font>
    <font>
      <sz val="11.0"/>
      <color rgb="FFFFFFFF"/>
      <name val="Arial"/>
    </font>
    <font>
      <b/>
      <sz val="11.0"/>
      <color rgb="FFFFFFFF"/>
      <name val="Arial"/>
    </font>
    <font/>
    <font>
      <color rgb="FFFFFFFF"/>
      <name val="Arial"/>
    </font>
    <font>
      <color rgb="FFFEFFFD"/>
      <name val="Arial"/>
    </font>
    <font>
      <color rgb="FF000000"/>
      <name val="Arial"/>
    </font>
    <font>
      <color rgb="FFF8F8F8"/>
      <name val="Arial"/>
    </font>
    <font>
      <color rgb="FFFFCFC9"/>
      <name val="Arial"/>
    </font>
    <font>
      <u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163832"/>
        <bgColor rgb="FF163832"/>
      </patternFill>
    </fill>
    <fill>
      <patternFill patternType="solid">
        <fgColor rgb="FFBF9000"/>
        <bgColor rgb="FFBF9000"/>
      </patternFill>
    </fill>
    <fill>
      <patternFill patternType="solid">
        <fgColor rgb="FF384358"/>
        <bgColor rgb="FF384358"/>
      </patternFill>
    </fill>
    <fill>
      <patternFill patternType="solid">
        <fgColor rgb="FF0A53A8"/>
        <bgColor rgb="FF0A53A8"/>
      </patternFill>
    </fill>
    <fill>
      <patternFill patternType="solid">
        <fgColor rgb="FF0B421A"/>
        <bgColor rgb="FF0B421A"/>
      </patternFill>
    </fill>
    <fill>
      <patternFill patternType="solid">
        <fgColor rgb="FF71AED4"/>
        <bgColor rgb="FF71AED4"/>
      </patternFill>
    </fill>
    <fill>
      <patternFill patternType="solid">
        <fgColor rgb="FF0F2269"/>
        <bgColor rgb="FF0F2269"/>
      </patternFill>
    </fill>
    <fill>
      <patternFill patternType="solid">
        <fgColor rgb="FF958639"/>
        <bgColor rgb="FF958639"/>
      </patternFill>
    </fill>
    <fill>
      <patternFill patternType="solid">
        <fgColor rgb="FFC89155"/>
        <bgColor rgb="FFC89155"/>
      </patternFill>
    </fill>
    <fill>
      <patternFill patternType="solid">
        <fgColor rgb="FFCE8F51"/>
        <bgColor rgb="FFCE8F51"/>
      </patternFill>
    </fill>
  </fills>
  <borders count="9">
    <border/>
    <border>
      <bottom style="thin">
        <color rgb="FF000000"/>
      </bottom>
    </border>
    <border>
      <bottom style="thin">
        <color rgb="FFF3F3F3"/>
      </bottom>
    </border>
    <border>
      <right style="thin">
        <color rgb="FFF3F3F3"/>
      </right>
    </border>
    <border>
      <right style="thin">
        <color rgb="FFF3F3F3"/>
      </right>
      <bottom style="thin">
        <color rgb="FFF3F3F3"/>
      </bottom>
    </border>
    <border>
      <right style="thin">
        <color rgb="FFF3F3F3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3" fontId="3" numFmtId="14" xfId="0" applyAlignment="1" applyBorder="1" applyFill="1" applyFont="1" applyNumberFormat="1">
      <alignment horizontal="center" textRotation="45" vertical="bottom"/>
    </xf>
    <xf borderId="2" fillId="4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4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3" fontId="3" numFmtId="0" xfId="0" applyAlignment="1" applyBorder="1" applyFont="1">
      <alignment horizontal="right" vertical="bottom"/>
    </xf>
    <xf borderId="5" fillId="0" fontId="4" numFmtId="0" xfId="0" applyBorder="1" applyFont="1"/>
    <xf borderId="1" fillId="2" fontId="1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5" fontId="3" numFmtId="0" xfId="0" applyAlignment="1" applyBorder="1" applyFill="1" applyFont="1">
      <alignment horizontal="center" vertical="bottom"/>
    </xf>
    <xf borderId="7" fillId="5" fontId="3" numFmtId="0" xfId="0" applyAlignment="1" applyBorder="1" applyFont="1">
      <alignment horizontal="center" shrinkToFit="0" vertical="bottom" wrapText="1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6" fontId="5" numFmtId="164" xfId="0" applyAlignment="1" applyBorder="1" applyFill="1" applyFont="1" applyNumberFormat="1">
      <alignment horizontal="right" readingOrder="0" vertical="bottom"/>
    </xf>
    <xf borderId="8" fillId="6" fontId="5" numFmtId="165" xfId="0" applyAlignment="1" applyBorder="1" applyFont="1" applyNumberFormat="1">
      <alignment horizontal="right" readingOrder="0" vertical="bottom"/>
    </xf>
    <xf borderId="8" fillId="6" fontId="5" numFmtId="0" xfId="0" applyAlignment="1" applyBorder="1" applyFont="1">
      <alignment readingOrder="0" vertical="bottom"/>
    </xf>
    <xf borderId="8" fillId="7" fontId="6" numFmtId="0" xfId="0" applyAlignment="1" applyBorder="1" applyFill="1" applyFont="1">
      <alignment readingOrder="0" vertical="bottom"/>
    </xf>
    <xf borderId="8" fillId="6" fontId="5" numFmtId="21" xfId="0" applyAlignment="1" applyBorder="1" applyFont="1" applyNumberFormat="1">
      <alignment horizontal="center" readingOrder="0" vertical="bottom"/>
    </xf>
    <xf borderId="8" fillId="6" fontId="7" numFmtId="0" xfId="0" applyAlignment="1" applyBorder="1" applyFont="1">
      <alignment vertical="bottom"/>
    </xf>
    <xf borderId="8" fillId="8" fontId="5" numFmtId="0" xfId="0" applyAlignment="1" applyBorder="1" applyFill="1" applyFont="1">
      <alignment readingOrder="0" vertical="bottom"/>
    </xf>
    <xf borderId="7" fillId="6" fontId="7" numFmtId="166" xfId="0" applyAlignment="1" applyBorder="1" applyFont="1" applyNumberFormat="1">
      <alignment vertical="bottom"/>
    </xf>
    <xf borderId="7" fillId="6" fontId="7" numFmtId="46" xfId="0" applyAlignment="1" applyBorder="1" applyFont="1" applyNumberFormat="1">
      <alignment vertical="bottom"/>
    </xf>
    <xf borderId="7" fillId="6" fontId="7" numFmtId="0" xfId="0" applyAlignment="1" applyBorder="1" applyFont="1">
      <alignment vertical="bottom"/>
    </xf>
    <xf borderId="7" fillId="6" fontId="5" numFmtId="46" xfId="0" applyAlignment="1" applyBorder="1" applyFont="1" applyNumberFormat="1">
      <alignment horizontal="right" readingOrder="0" vertical="bottom"/>
    </xf>
    <xf borderId="7" fillId="9" fontId="7" numFmtId="0" xfId="0" applyAlignment="1" applyBorder="1" applyFill="1" applyFont="1">
      <alignment readingOrder="0" vertical="bottom"/>
    </xf>
    <xf borderId="7" fillId="6" fontId="5" numFmtId="167" xfId="0" applyAlignment="1" applyBorder="1" applyFont="1" applyNumberFormat="1">
      <alignment horizontal="center" readingOrder="0" vertical="bottom"/>
    </xf>
    <xf borderId="7" fillId="6" fontId="5" numFmtId="0" xfId="0" applyAlignment="1" applyBorder="1" applyFont="1">
      <alignment readingOrder="0" vertical="bottom"/>
    </xf>
    <xf borderId="7" fillId="8" fontId="5" numFmtId="0" xfId="0" applyAlignment="1" applyBorder="1" applyFont="1">
      <alignment readingOrder="0" vertical="bottom"/>
    </xf>
    <xf borderId="7" fillId="10" fontId="8" numFmtId="0" xfId="0" applyAlignment="1" applyBorder="1" applyFill="1" applyFont="1">
      <alignment readingOrder="0" vertical="bottom"/>
    </xf>
    <xf borderId="7" fillId="6" fontId="7" numFmtId="9" xfId="0" applyAlignment="1" applyBorder="1" applyFont="1" applyNumberFormat="1">
      <alignment vertical="bottom"/>
    </xf>
    <xf borderId="7" fillId="6" fontId="7" numFmtId="0" xfId="0" applyAlignment="1" applyBorder="1" applyFont="1">
      <alignment vertical="bottom"/>
    </xf>
    <xf borderId="7" fillId="6" fontId="5" numFmtId="166" xfId="0" applyAlignment="1" applyBorder="1" applyFont="1" applyNumberFormat="1">
      <alignment horizontal="right" readingOrder="0" vertical="bottom"/>
    </xf>
    <xf borderId="7" fillId="7" fontId="6" numFmtId="0" xfId="0" applyAlignment="1" applyBorder="1" applyFont="1">
      <alignment readingOrder="0" vertical="bottom"/>
    </xf>
    <xf borderId="7" fillId="11" fontId="9" numFmtId="0" xfId="0" applyAlignment="1" applyBorder="1" applyFill="1" applyFont="1">
      <alignment readingOrder="0" vertical="bottom"/>
    </xf>
    <xf borderId="7" fillId="12" fontId="5" numFmtId="166" xfId="0" applyAlignment="1" applyBorder="1" applyFill="1" applyFont="1" applyNumberFormat="1">
      <alignment horizontal="right" readingOrder="0" vertical="bottom"/>
    </xf>
    <xf borderId="7" fillId="13" fontId="7" numFmtId="46" xfId="0" applyAlignment="1" applyBorder="1" applyFill="1" applyFont="1" applyNumberFormat="1">
      <alignment vertical="bottom"/>
    </xf>
    <xf borderId="7" fillId="13" fontId="7" numFmtId="0" xfId="0" applyAlignment="1" applyBorder="1" applyFont="1">
      <alignment vertical="bottom"/>
    </xf>
    <xf borderId="7" fillId="13" fontId="5" numFmtId="167" xfId="0" applyAlignment="1" applyBorder="1" applyFont="1" applyNumberFormat="1">
      <alignment horizontal="center" readingOrder="0" vertical="bottom"/>
    </xf>
    <xf borderId="7" fillId="13" fontId="5" numFmtId="0" xfId="0" applyAlignment="1" applyBorder="1" applyFont="1">
      <alignment readingOrder="0" vertical="bottom"/>
    </xf>
    <xf borderId="7" fillId="6" fontId="5" numFmtId="0" xfId="0" applyAlignment="1" applyBorder="1" applyFont="1">
      <alignment horizontal="right" readingOrder="0" vertical="bottom"/>
    </xf>
    <xf borderId="7" fillId="12" fontId="5" numFmtId="0" xfId="0" applyAlignment="1" applyBorder="1" applyFont="1">
      <alignment horizontal="right" readingOrder="0" vertical="bottom"/>
    </xf>
    <xf borderId="7" fillId="6" fontId="10" numFmtId="0" xfId="0" applyAlignment="1" applyBorder="1" applyFont="1">
      <alignment readingOrder="0" vertical="bottom"/>
    </xf>
    <xf borderId="7" fillId="12" fontId="5" numFmtId="0" xfId="0" applyAlignment="1" applyBorder="1" applyFont="1">
      <alignment horizontal="left" readingOrder="0" vertical="bottom"/>
    </xf>
    <xf borderId="7" fillId="6" fontId="5" numFmtId="0" xfId="0" applyAlignment="1" applyBorder="1" applyFont="1">
      <alignment vertical="bottom"/>
    </xf>
    <xf borderId="7" fillId="6" fontId="1" numFmtId="46" xfId="0" applyAlignment="1" applyBorder="1" applyFont="1" applyNumberFormat="1">
      <alignment vertical="bottom"/>
    </xf>
    <xf borderId="7" fillId="6" fontId="1" numFmtId="0" xfId="0" applyAlignment="1" applyBorder="1" applyFont="1">
      <alignment readingOrder="0" vertical="bottom"/>
    </xf>
    <xf borderId="7" fillId="6" fontId="5" numFmtId="166" xfId="0" applyAlignment="1" applyBorder="1" applyFont="1" applyNumberFormat="1">
      <alignment vertical="bottom"/>
    </xf>
    <xf borderId="7" fillId="6" fontId="5" numFmtId="46" xfId="0" applyAlignment="1" applyBorder="1" applyFont="1" applyNumberFormat="1">
      <alignment vertical="bottom"/>
    </xf>
    <xf borderId="7" fillId="6" fontId="5" numFmtId="167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vertical="bottom"/>
    </xf>
    <xf borderId="6" fillId="2" fontId="1" numFmtId="0" xfId="0" applyBorder="1" applyFont="1"/>
    <xf borderId="7" fillId="5" fontId="3" numFmtId="0" xfId="0" applyAlignment="1" applyBorder="1" applyFont="1">
      <alignment horizontal="center"/>
    </xf>
    <xf borderId="7" fillId="5" fontId="3" numFmtId="0" xfId="0" applyAlignment="1" applyBorder="1" applyFont="1">
      <alignment horizontal="center" shrinkToFit="0" wrapText="1"/>
    </xf>
    <xf borderId="0" fillId="2" fontId="1" numFmtId="0" xfId="0" applyFont="1"/>
    <xf borderId="0" fillId="0" fontId="1" numFmtId="0" xfId="0" applyFont="1"/>
    <xf borderId="7" fillId="6" fontId="1" numFmtId="0" xfId="0" applyAlignment="1" applyBorder="1" applyFont="1">
      <alignment vertical="bottom"/>
    </xf>
    <xf borderId="7" fillId="6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75"/>
    <col customWidth="1" min="10" max="10" width="66.13"/>
    <col customWidth="1" min="12" max="12" width="37.63"/>
  </cols>
  <sheetData>
    <row r="1">
      <c r="A1" s="1"/>
      <c r="B1" s="2"/>
      <c r="C1" s="2"/>
      <c r="D1" s="2"/>
      <c r="E1" s="2"/>
      <c r="F1" s="3" t="s">
        <v>0</v>
      </c>
      <c r="G1" s="1"/>
      <c r="H1" s="1"/>
      <c r="I1" s="1"/>
      <c r="J1" s="1"/>
      <c r="K1" s="1"/>
      <c r="L1" s="2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4"/>
      <c r="C2" s="5"/>
      <c r="D2" s="5"/>
      <c r="E2" s="5"/>
      <c r="F2" s="1"/>
      <c r="G2" s="1"/>
      <c r="H2" s="1"/>
      <c r="I2" s="1"/>
      <c r="J2" s="1"/>
      <c r="K2" s="1"/>
      <c r="L2" s="2"/>
      <c r="M2" s="2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6">
        <f>TODAY()</f>
        <v>46221</v>
      </c>
      <c r="C3" s="7" t="s">
        <v>1</v>
      </c>
      <c r="D3" s="8"/>
      <c r="E3" s="9"/>
      <c r="F3" s="1"/>
      <c r="G3" s="1"/>
      <c r="H3" s="1"/>
      <c r="I3" s="1"/>
      <c r="J3" s="1"/>
      <c r="K3" s="1"/>
      <c r="L3" s="2"/>
      <c r="M3" s="2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10"/>
      <c r="C4" s="11" t="s">
        <v>2</v>
      </c>
      <c r="D4" s="12" t="str">
        <f>IFERROR(__xludf.DUMMYFUNCTION("IF(E4=0,"""", SPARKLINE (E4, {""charttype"",""bar"";""color1"",""bf9000"";""max"",SUM($E$4:$E$5)}))"),"")</f>
        <v/>
      </c>
      <c r="E4" s="13">
        <f>countif($M$9:$M1000,C4)</f>
        <v>110</v>
      </c>
      <c r="F4" s="1"/>
      <c r="G4" s="1"/>
      <c r="H4" s="1"/>
      <c r="I4" s="1"/>
      <c r="J4" s="1"/>
      <c r="K4" s="1"/>
      <c r="L4" s="2"/>
      <c r="M4" s="2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14"/>
      <c r="C5" s="11" t="s">
        <v>3</v>
      </c>
      <c r="D5" s="12" t="str">
        <f>IFERROR(__xludf.DUMMYFUNCTION("IF(E5=0,"""", SPARKLINE (E5, {""charttype"",""bar"";""color1"",""bf9000"";""max"",SUM($E$4:$E$5)}))"),"")</f>
        <v/>
      </c>
      <c r="E5" s="13">
        <f>COUNTIF(M:M,"*Progress*")</f>
        <v>1</v>
      </c>
      <c r="F5" s="1"/>
      <c r="G5" s="1"/>
      <c r="H5" s="1"/>
      <c r="I5" s="1"/>
      <c r="J5" s="1"/>
      <c r="K5" s="1"/>
      <c r="L5" s="2"/>
      <c r="M5" s="2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/>
      <c r="B6" s="4"/>
      <c r="C6" s="4"/>
      <c r="D6" s="4"/>
      <c r="E6" s="4"/>
      <c r="F6" s="15"/>
      <c r="G6" s="15"/>
      <c r="H6" s="15"/>
      <c r="I6" s="15"/>
      <c r="J6" s="15"/>
      <c r="K6" s="15"/>
      <c r="L6" s="4"/>
      <c r="M6" s="4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6"/>
      <c r="B7" s="17"/>
      <c r="C7" s="17"/>
      <c r="D7" s="17"/>
      <c r="E7" s="17"/>
      <c r="F7" s="18"/>
      <c r="G7" s="18"/>
      <c r="H7" s="17"/>
      <c r="I7" s="17"/>
      <c r="J7" s="17"/>
      <c r="K7" s="17"/>
      <c r="L7" s="18"/>
      <c r="M7" s="17"/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1"/>
      <c r="B8" s="21">
        <v>46028.0</v>
      </c>
      <c r="C8" s="22">
        <v>0.4166666666666667</v>
      </c>
      <c r="D8" s="22">
        <v>0.7708333333333334</v>
      </c>
      <c r="E8" s="23" t="s">
        <v>4</v>
      </c>
      <c r="F8" s="22">
        <v>0.4166666666666667</v>
      </c>
      <c r="G8" s="22">
        <v>0.4583333333333333</v>
      </c>
      <c r="H8" s="24" t="s">
        <v>5</v>
      </c>
      <c r="I8" s="25">
        <v>0.041666666666666664</v>
      </c>
      <c r="J8" s="23" t="s">
        <v>6</v>
      </c>
      <c r="K8" s="26"/>
      <c r="L8" s="26"/>
      <c r="M8" s="27" t="s">
        <v>2</v>
      </c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28"/>
      <c r="C9" s="29"/>
      <c r="D9" s="29"/>
      <c r="E9" s="30"/>
      <c r="F9" s="31">
        <v>0.4583333333333333</v>
      </c>
      <c r="G9" s="31">
        <v>0.4791666666666667</v>
      </c>
      <c r="H9" s="32" t="s">
        <v>7</v>
      </c>
      <c r="I9" s="33">
        <v>0.020833333333333332</v>
      </c>
      <c r="J9" s="34" t="s">
        <v>8</v>
      </c>
      <c r="K9" s="30"/>
      <c r="L9" s="30"/>
      <c r="M9" s="35" t="s">
        <v>2</v>
      </c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28"/>
      <c r="C10" s="29"/>
      <c r="D10" s="29"/>
      <c r="E10" s="30"/>
      <c r="F10" s="31">
        <v>0.4791666666666667</v>
      </c>
      <c r="G10" s="31">
        <v>0.5416666666666666</v>
      </c>
      <c r="H10" s="36" t="s">
        <v>9</v>
      </c>
      <c r="I10" s="33">
        <v>0.0625</v>
      </c>
      <c r="J10" s="34" t="s">
        <v>10</v>
      </c>
      <c r="K10" s="37"/>
      <c r="L10" s="30"/>
      <c r="M10" s="35" t="s">
        <v>2</v>
      </c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38"/>
      <c r="C11" s="29"/>
      <c r="D11" s="29"/>
      <c r="E11" s="30"/>
      <c r="F11" s="31">
        <v>0.5833333333333334</v>
      </c>
      <c r="G11" s="31">
        <v>0.7708333333333334</v>
      </c>
      <c r="H11" s="32" t="s">
        <v>7</v>
      </c>
      <c r="I11" s="33">
        <v>0.1875</v>
      </c>
      <c r="J11" s="34" t="s">
        <v>11</v>
      </c>
      <c r="K11" s="37"/>
      <c r="L11" s="30"/>
      <c r="M11" s="35" t="s">
        <v>2</v>
      </c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28"/>
      <c r="C12" s="29"/>
      <c r="D12" s="29"/>
      <c r="E12" s="30"/>
      <c r="F12" s="29"/>
      <c r="G12" s="29"/>
      <c r="H12" s="29"/>
      <c r="I12" s="33">
        <v>0.0</v>
      </c>
      <c r="J12" s="30"/>
      <c r="K12" s="37"/>
      <c r="L12" s="30"/>
      <c r="M12" s="29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39">
        <v>46059.0</v>
      </c>
      <c r="C13" s="31">
        <v>0.4166666666666667</v>
      </c>
      <c r="D13" s="31">
        <v>0.7708333333333334</v>
      </c>
      <c r="E13" s="34" t="s">
        <v>4</v>
      </c>
      <c r="F13" s="31">
        <v>0.4166666666666667</v>
      </c>
      <c r="G13" s="31">
        <v>0.4583333333333333</v>
      </c>
      <c r="H13" s="40" t="s">
        <v>5</v>
      </c>
      <c r="I13" s="33">
        <v>0.041666666666666664</v>
      </c>
      <c r="J13" s="34" t="s">
        <v>12</v>
      </c>
      <c r="K13" s="30"/>
      <c r="L13" s="30"/>
      <c r="M13" s="35" t="s">
        <v>2</v>
      </c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8"/>
      <c r="C14" s="29"/>
      <c r="D14" s="29"/>
      <c r="E14" s="30"/>
      <c r="F14" s="31">
        <v>0.4583333333333333</v>
      </c>
      <c r="G14" s="31">
        <v>0.4791666666666667</v>
      </c>
      <c r="H14" s="32" t="s">
        <v>7</v>
      </c>
      <c r="I14" s="33">
        <v>0.020833333333333332</v>
      </c>
      <c r="J14" s="34" t="s">
        <v>8</v>
      </c>
      <c r="K14" s="30"/>
      <c r="L14" s="30"/>
      <c r="M14" s="35" t="s">
        <v>2</v>
      </c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28"/>
      <c r="C15" s="29"/>
      <c r="D15" s="29"/>
      <c r="E15" s="30"/>
      <c r="F15" s="31">
        <v>0.4791666666666667</v>
      </c>
      <c r="G15" s="31">
        <v>0.5416666666666666</v>
      </c>
      <c r="H15" s="36" t="s">
        <v>9</v>
      </c>
      <c r="I15" s="33">
        <v>0.0625</v>
      </c>
      <c r="J15" s="34" t="s">
        <v>13</v>
      </c>
      <c r="K15" s="37"/>
      <c r="L15" s="30"/>
      <c r="M15" s="41" t="s">
        <v>2</v>
      </c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/>
      <c r="B16" s="28"/>
      <c r="C16" s="29"/>
      <c r="D16" s="29"/>
      <c r="E16" s="30"/>
      <c r="F16" s="31">
        <v>0.5833333333333334</v>
      </c>
      <c r="G16" s="31">
        <v>0.75</v>
      </c>
      <c r="H16" s="40" t="s">
        <v>5</v>
      </c>
      <c r="I16" s="33">
        <v>0.16666666666666666</v>
      </c>
      <c r="J16" s="34" t="s">
        <v>14</v>
      </c>
      <c r="K16" s="30"/>
      <c r="L16" s="30"/>
      <c r="M16" s="41" t="s">
        <v>2</v>
      </c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28"/>
      <c r="C17" s="29"/>
      <c r="D17" s="29"/>
      <c r="E17" s="30"/>
      <c r="F17" s="31">
        <v>0.75</v>
      </c>
      <c r="G17" s="31">
        <v>0.7708333333333334</v>
      </c>
      <c r="H17" s="32" t="s">
        <v>7</v>
      </c>
      <c r="I17" s="33">
        <v>0.020833333333333332</v>
      </c>
      <c r="J17" s="34" t="s">
        <v>8</v>
      </c>
      <c r="K17" s="30"/>
      <c r="L17" s="30"/>
      <c r="M17" s="35" t="s">
        <v>2</v>
      </c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28"/>
      <c r="C18" s="29"/>
      <c r="D18" s="29"/>
      <c r="E18" s="30"/>
      <c r="F18" s="29"/>
      <c r="G18" s="29"/>
      <c r="H18" s="29"/>
      <c r="I18" s="33">
        <v>0.0</v>
      </c>
      <c r="J18" s="30"/>
      <c r="K18" s="37"/>
      <c r="L18" s="30"/>
      <c r="M18" s="29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/>
      <c r="B19" s="39">
        <v>46087.0</v>
      </c>
      <c r="C19" s="31">
        <v>0.4166666666666667</v>
      </c>
      <c r="D19" s="31">
        <v>0.7708333333333334</v>
      </c>
      <c r="E19" s="34" t="s">
        <v>4</v>
      </c>
      <c r="F19" s="31">
        <v>0.4166666666666667</v>
      </c>
      <c r="G19" s="31">
        <v>0.4583333333333333</v>
      </c>
      <c r="H19" s="40" t="s">
        <v>5</v>
      </c>
      <c r="I19" s="33">
        <v>0.041666666666666664</v>
      </c>
      <c r="J19" s="34" t="s">
        <v>4</v>
      </c>
      <c r="K19" s="30"/>
      <c r="L19" s="30"/>
      <c r="M19" s="35" t="s">
        <v>2</v>
      </c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8"/>
      <c r="C20" s="29"/>
      <c r="D20" s="29"/>
      <c r="E20" s="30"/>
      <c r="F20" s="31">
        <v>0.4583333333333333</v>
      </c>
      <c r="G20" s="31">
        <v>0.4791666666666667</v>
      </c>
      <c r="H20" s="32" t="s">
        <v>7</v>
      </c>
      <c r="I20" s="33">
        <v>0.020833333333333332</v>
      </c>
      <c r="J20" s="34" t="s">
        <v>8</v>
      </c>
      <c r="K20" s="30"/>
      <c r="L20" s="30"/>
      <c r="M20" s="35" t="s">
        <v>2</v>
      </c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28"/>
      <c r="C21" s="29"/>
      <c r="D21" s="29"/>
      <c r="E21" s="30"/>
      <c r="F21" s="31">
        <v>0.4791666666666667</v>
      </c>
      <c r="G21" s="31">
        <v>0.5416666666666666</v>
      </c>
      <c r="H21" s="36" t="s">
        <v>9</v>
      </c>
      <c r="I21" s="33">
        <v>0.0625</v>
      </c>
      <c r="J21" s="34" t="s">
        <v>15</v>
      </c>
      <c r="K21" s="30"/>
      <c r="L21" s="30"/>
      <c r="M21" s="41" t="s">
        <v>2</v>
      </c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28"/>
      <c r="C22" s="29"/>
      <c r="D22" s="29"/>
      <c r="E22" s="30"/>
      <c r="F22" s="31">
        <v>0.5833333333333334</v>
      </c>
      <c r="G22" s="31">
        <v>0.7708333333333334</v>
      </c>
      <c r="H22" s="40" t="s">
        <v>5</v>
      </c>
      <c r="I22" s="33">
        <v>0.1875</v>
      </c>
      <c r="J22" s="34" t="s">
        <v>16</v>
      </c>
      <c r="K22" s="37"/>
      <c r="L22" s="30"/>
      <c r="M22" s="41" t="s">
        <v>2</v>
      </c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28"/>
      <c r="C23" s="29"/>
      <c r="D23" s="29"/>
      <c r="E23" s="30"/>
      <c r="F23" s="29"/>
      <c r="G23" s="29"/>
      <c r="H23" s="29"/>
      <c r="I23" s="33">
        <v>0.0</v>
      </c>
      <c r="J23" s="30"/>
      <c r="K23" s="30"/>
      <c r="L23" s="30"/>
      <c r="M23" s="29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s="39">
        <v>46118.0</v>
      </c>
      <c r="C24" s="31">
        <v>0.4166666666666667</v>
      </c>
      <c r="D24" s="31">
        <v>0.7708333333333334</v>
      </c>
      <c r="E24" s="34" t="s">
        <v>4</v>
      </c>
      <c r="F24" s="31">
        <v>0.4166666666666667</v>
      </c>
      <c r="G24" s="31">
        <v>0.4583333333333333</v>
      </c>
      <c r="H24" s="40" t="s">
        <v>5</v>
      </c>
      <c r="I24" s="33">
        <v>0.041666666666666664</v>
      </c>
      <c r="J24" s="34" t="s">
        <v>17</v>
      </c>
      <c r="K24" s="37"/>
      <c r="L24" s="30"/>
      <c r="M24" s="35" t="s">
        <v>2</v>
      </c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28"/>
      <c r="C25" s="29"/>
      <c r="D25" s="29"/>
      <c r="E25" s="30"/>
      <c r="F25" s="31">
        <v>0.4791666666666667</v>
      </c>
      <c r="G25" s="31">
        <v>0.75</v>
      </c>
      <c r="H25" s="36" t="s">
        <v>9</v>
      </c>
      <c r="I25" s="33">
        <v>0.2708333333333333</v>
      </c>
      <c r="J25" s="34" t="s">
        <v>18</v>
      </c>
      <c r="K25" s="30"/>
      <c r="L25" s="30"/>
      <c r="M25" s="41" t="s">
        <v>2</v>
      </c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28"/>
      <c r="C26" s="29"/>
      <c r="D26" s="29"/>
      <c r="E26" s="30"/>
      <c r="F26" s="31">
        <v>0.75</v>
      </c>
      <c r="G26" s="31">
        <v>0.7708333333333334</v>
      </c>
      <c r="H26" s="32" t="s">
        <v>7</v>
      </c>
      <c r="I26" s="33">
        <v>0.020833333333333332</v>
      </c>
      <c r="J26" s="34" t="s">
        <v>8</v>
      </c>
      <c r="K26" s="30"/>
      <c r="L26" s="30"/>
      <c r="M26" s="35" t="s">
        <v>2</v>
      </c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/>
      <c r="B27" s="28"/>
      <c r="C27" s="29"/>
      <c r="D27" s="29"/>
      <c r="E27" s="30"/>
      <c r="F27" s="29"/>
      <c r="G27" s="29"/>
      <c r="H27" s="29"/>
      <c r="I27" s="33">
        <v>0.0</v>
      </c>
      <c r="J27" s="30"/>
      <c r="K27" s="37"/>
      <c r="L27" s="30"/>
      <c r="M27" s="29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s="39">
        <v>46148.0</v>
      </c>
      <c r="C28" s="31">
        <v>0.4166666666666667</v>
      </c>
      <c r="D28" s="31">
        <v>0.7916666666666666</v>
      </c>
      <c r="E28" s="34" t="s">
        <v>4</v>
      </c>
      <c r="F28" s="31">
        <v>0.4166666666666667</v>
      </c>
      <c r="G28" s="31">
        <v>0.4583333333333333</v>
      </c>
      <c r="H28" s="40" t="s">
        <v>5</v>
      </c>
      <c r="I28" s="33">
        <v>0.041666666666666664</v>
      </c>
      <c r="J28" s="34" t="s">
        <v>4</v>
      </c>
      <c r="K28" s="30"/>
      <c r="L28" s="30"/>
      <c r="M28" s="35" t="s">
        <v>2</v>
      </c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8"/>
      <c r="C29" s="29"/>
      <c r="D29" s="29"/>
      <c r="E29" s="30"/>
      <c r="F29" s="31">
        <v>0.4583333333333333</v>
      </c>
      <c r="G29" s="31">
        <v>0.4791666666666667</v>
      </c>
      <c r="H29" s="32" t="s">
        <v>7</v>
      </c>
      <c r="I29" s="33">
        <v>0.020833333333333332</v>
      </c>
      <c r="J29" s="34" t="s">
        <v>8</v>
      </c>
      <c r="K29" s="30"/>
      <c r="L29" s="30"/>
      <c r="M29" s="35" t="s">
        <v>2</v>
      </c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/>
      <c r="B30" s="28"/>
      <c r="C30" s="29"/>
      <c r="D30" s="29"/>
      <c r="E30" s="30"/>
      <c r="F30" s="31">
        <v>0.4791666666666667</v>
      </c>
      <c r="G30" s="31">
        <v>0.5833333333333334</v>
      </c>
      <c r="H30" s="36" t="s">
        <v>9</v>
      </c>
      <c r="I30" s="33">
        <v>0.10416666666666667</v>
      </c>
      <c r="J30" s="34" t="s">
        <v>19</v>
      </c>
      <c r="K30" s="30"/>
      <c r="L30" s="30"/>
      <c r="M30" s="41" t="s">
        <v>2</v>
      </c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8"/>
      <c r="C31" s="29"/>
      <c r="D31" s="29"/>
      <c r="E31" s="30"/>
      <c r="F31" s="31">
        <v>0.625</v>
      </c>
      <c r="G31" s="31">
        <v>0.75</v>
      </c>
      <c r="H31" s="40" t="s">
        <v>5</v>
      </c>
      <c r="I31" s="33">
        <v>0.125</v>
      </c>
      <c r="J31" s="34" t="s">
        <v>20</v>
      </c>
      <c r="K31" s="30"/>
      <c r="L31" s="30"/>
      <c r="M31" s="41" t="s">
        <v>2</v>
      </c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/>
      <c r="B32" s="28"/>
      <c r="C32" s="29"/>
      <c r="D32" s="29"/>
      <c r="E32" s="30"/>
      <c r="F32" s="31">
        <v>0.75</v>
      </c>
      <c r="G32" s="31">
        <v>0.7916666666666666</v>
      </c>
      <c r="H32" s="29"/>
      <c r="I32" s="33">
        <v>0.041666666666666664</v>
      </c>
      <c r="J32" s="34" t="s">
        <v>21</v>
      </c>
      <c r="K32" s="30"/>
      <c r="L32" s="30"/>
      <c r="M32" s="35" t="s">
        <v>2</v>
      </c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8"/>
      <c r="C33" s="29"/>
      <c r="D33" s="29"/>
      <c r="E33" s="30"/>
      <c r="F33" s="29"/>
      <c r="G33" s="29"/>
      <c r="H33" s="29"/>
      <c r="I33" s="33">
        <v>0.0</v>
      </c>
      <c r="J33" s="30"/>
      <c r="K33" s="37"/>
      <c r="L33" s="30"/>
      <c r="M33" s="29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39">
        <v>46179.0</v>
      </c>
      <c r="C34" s="31">
        <v>0.4166666666666667</v>
      </c>
      <c r="D34" s="31">
        <v>0.75</v>
      </c>
      <c r="E34" s="34" t="s">
        <v>4</v>
      </c>
      <c r="F34" s="31">
        <v>0.4166666666666667</v>
      </c>
      <c r="G34" s="31">
        <v>0.4583333333333333</v>
      </c>
      <c r="H34" s="40" t="s">
        <v>5</v>
      </c>
      <c r="I34" s="33">
        <v>0.041666666666666664</v>
      </c>
      <c r="J34" s="34" t="s">
        <v>22</v>
      </c>
      <c r="K34" s="30"/>
      <c r="L34" s="30"/>
      <c r="M34" s="35" t="s">
        <v>2</v>
      </c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8"/>
      <c r="C35" s="29"/>
      <c r="D35" s="29"/>
      <c r="E35" s="30"/>
      <c r="F35" s="31">
        <v>0.4583333333333333</v>
      </c>
      <c r="G35" s="31">
        <v>0.5833333333333334</v>
      </c>
      <c r="H35" s="36" t="s">
        <v>9</v>
      </c>
      <c r="I35" s="33">
        <v>0.125</v>
      </c>
      <c r="J35" s="34" t="s">
        <v>23</v>
      </c>
      <c r="K35" s="37"/>
      <c r="L35" s="30"/>
      <c r="M35" s="41" t="s">
        <v>2</v>
      </c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8"/>
      <c r="C36" s="29"/>
      <c r="D36" s="29"/>
      <c r="E36" s="30"/>
      <c r="F36" s="31">
        <v>0.625</v>
      </c>
      <c r="G36" s="31">
        <v>0.75</v>
      </c>
      <c r="H36" s="36" t="s">
        <v>9</v>
      </c>
      <c r="I36" s="33">
        <v>0.125</v>
      </c>
      <c r="J36" s="34" t="s">
        <v>23</v>
      </c>
      <c r="K36" s="30"/>
      <c r="L36" s="30"/>
      <c r="M36" s="41" t="s">
        <v>2</v>
      </c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8"/>
      <c r="C37" s="29"/>
      <c r="D37" s="29"/>
      <c r="E37" s="30"/>
      <c r="F37" s="29"/>
      <c r="G37" s="29"/>
      <c r="H37" s="29"/>
      <c r="I37" s="33">
        <v>0.0</v>
      </c>
      <c r="J37" s="30"/>
      <c r="K37" s="37"/>
      <c r="L37" s="30"/>
      <c r="M37" s="29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42">
        <v>46209.0</v>
      </c>
      <c r="C38" s="43"/>
      <c r="D38" s="43"/>
      <c r="E38" s="44"/>
      <c r="F38" s="43"/>
      <c r="G38" s="43"/>
      <c r="H38" s="43"/>
      <c r="I38" s="45">
        <v>0.0</v>
      </c>
      <c r="J38" s="46" t="s">
        <v>24</v>
      </c>
      <c r="K38" s="44"/>
      <c r="L38" s="44"/>
      <c r="M38" s="43"/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8"/>
      <c r="C39" s="29"/>
      <c r="D39" s="29"/>
      <c r="E39" s="30"/>
      <c r="F39" s="29"/>
      <c r="G39" s="29"/>
      <c r="H39" s="29"/>
      <c r="I39" s="33">
        <v>0.0</v>
      </c>
      <c r="J39" s="30"/>
      <c r="K39" s="30"/>
      <c r="L39" s="30"/>
      <c r="M39" s="29"/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39">
        <v>46240.0</v>
      </c>
      <c r="C40" s="31">
        <v>0.4166666666666667</v>
      </c>
      <c r="D40" s="31">
        <v>0.8229166666666666</v>
      </c>
      <c r="E40" s="34" t="s">
        <v>4</v>
      </c>
      <c r="F40" s="31">
        <v>0.4166666666666667</v>
      </c>
      <c r="G40" s="31">
        <v>0.4583333333333333</v>
      </c>
      <c r="H40" s="40" t="s">
        <v>5</v>
      </c>
      <c r="I40" s="33">
        <v>0.041666666666666664</v>
      </c>
      <c r="J40" s="34" t="s">
        <v>22</v>
      </c>
      <c r="K40" s="30"/>
      <c r="L40" s="30"/>
      <c r="M40" s="35" t="s">
        <v>2</v>
      </c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8"/>
      <c r="C41" s="29"/>
      <c r="D41" s="29"/>
      <c r="E41" s="30"/>
      <c r="F41" s="31">
        <v>0.4583333333333333</v>
      </c>
      <c r="G41" s="31">
        <v>0.4791666666666667</v>
      </c>
      <c r="H41" s="32" t="s">
        <v>7</v>
      </c>
      <c r="I41" s="33">
        <v>0.020833333333333332</v>
      </c>
      <c r="J41" s="34" t="s">
        <v>8</v>
      </c>
      <c r="K41" s="30"/>
      <c r="L41" s="30"/>
      <c r="M41" s="35" t="s">
        <v>2</v>
      </c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8"/>
      <c r="C42" s="29"/>
      <c r="D42" s="29"/>
      <c r="E42" s="30"/>
      <c r="F42" s="31">
        <v>0.4791666666666667</v>
      </c>
      <c r="G42" s="31">
        <v>0.5833333333333334</v>
      </c>
      <c r="H42" s="36" t="s">
        <v>9</v>
      </c>
      <c r="I42" s="33">
        <v>0.10416666666666667</v>
      </c>
      <c r="J42" s="34" t="s">
        <v>25</v>
      </c>
      <c r="K42" s="30"/>
      <c r="L42" s="30"/>
      <c r="M42" s="41" t="s">
        <v>2</v>
      </c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8"/>
      <c r="C43" s="29"/>
      <c r="D43" s="29"/>
      <c r="E43" s="30"/>
      <c r="F43" s="31">
        <v>0.625</v>
      </c>
      <c r="G43" s="31">
        <v>0.75</v>
      </c>
      <c r="H43" s="36" t="s">
        <v>9</v>
      </c>
      <c r="I43" s="33">
        <v>0.125</v>
      </c>
      <c r="J43" s="34" t="s">
        <v>26</v>
      </c>
      <c r="K43" s="30"/>
      <c r="L43" s="30"/>
      <c r="M43" s="35" t="s">
        <v>2</v>
      </c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8"/>
      <c r="C44" s="29"/>
      <c r="D44" s="29"/>
      <c r="E44" s="38"/>
      <c r="F44" s="31">
        <v>0.75</v>
      </c>
      <c r="G44" s="31">
        <v>0.8229166666666666</v>
      </c>
      <c r="H44" s="40" t="s">
        <v>5</v>
      </c>
      <c r="I44" s="33">
        <v>0.07291666666666667</v>
      </c>
      <c r="J44" s="34" t="s">
        <v>27</v>
      </c>
      <c r="K44" s="30"/>
      <c r="L44" s="30"/>
      <c r="M44" s="41" t="s">
        <v>2</v>
      </c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8"/>
      <c r="C45" s="29"/>
      <c r="D45" s="29"/>
      <c r="E45" s="30"/>
      <c r="F45" s="29"/>
      <c r="G45" s="29"/>
      <c r="H45" s="29"/>
      <c r="I45" s="33">
        <v>0.0</v>
      </c>
      <c r="J45" s="30"/>
      <c r="K45" s="30"/>
      <c r="L45" s="30"/>
      <c r="M45" s="29"/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39">
        <v>46271.0</v>
      </c>
      <c r="C46" s="31">
        <v>0.4166666666666667</v>
      </c>
      <c r="D46" s="31">
        <v>1.0</v>
      </c>
      <c r="E46" s="34" t="s">
        <v>4</v>
      </c>
      <c r="F46" s="31">
        <v>0.4166666666666667</v>
      </c>
      <c r="G46" s="31">
        <v>0.4583333333333333</v>
      </c>
      <c r="H46" s="40" t="s">
        <v>5</v>
      </c>
      <c r="I46" s="33">
        <v>0.041666666666666664</v>
      </c>
      <c r="J46" s="34" t="s">
        <v>22</v>
      </c>
      <c r="K46" s="30"/>
      <c r="L46" s="30"/>
      <c r="M46" s="35" t="s">
        <v>2</v>
      </c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8"/>
      <c r="C47" s="29"/>
      <c r="D47" s="29"/>
      <c r="E47" s="30"/>
      <c r="F47" s="31">
        <v>0.4583333333333333</v>
      </c>
      <c r="G47" s="31">
        <v>0.4791666666666667</v>
      </c>
      <c r="H47" s="32" t="s">
        <v>7</v>
      </c>
      <c r="I47" s="33">
        <v>0.020833333333333332</v>
      </c>
      <c r="J47" s="34" t="s">
        <v>8</v>
      </c>
      <c r="K47" s="30"/>
      <c r="L47" s="30"/>
      <c r="M47" s="35" t="s">
        <v>2</v>
      </c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8"/>
      <c r="C48" s="29"/>
      <c r="D48" s="29"/>
      <c r="E48" s="30"/>
      <c r="F48" s="31">
        <v>0.4791666666666667</v>
      </c>
      <c r="G48" s="31">
        <v>0.5833333333333334</v>
      </c>
      <c r="H48" s="36" t="s">
        <v>9</v>
      </c>
      <c r="I48" s="33">
        <v>0.10416666666666667</v>
      </c>
      <c r="J48" s="34" t="s">
        <v>28</v>
      </c>
      <c r="K48" s="30"/>
      <c r="L48" s="30"/>
      <c r="M48" s="41" t="s">
        <v>2</v>
      </c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8"/>
      <c r="C49" s="29"/>
      <c r="D49" s="29"/>
      <c r="E49" s="30"/>
      <c r="F49" s="31">
        <v>0.625</v>
      </c>
      <c r="G49" s="31">
        <v>0.75</v>
      </c>
      <c r="H49" s="36" t="s">
        <v>9</v>
      </c>
      <c r="I49" s="33">
        <v>0.125</v>
      </c>
      <c r="J49" s="34" t="s">
        <v>29</v>
      </c>
      <c r="K49" s="30"/>
      <c r="L49" s="30"/>
      <c r="M49" s="35" t="s">
        <v>2</v>
      </c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8"/>
      <c r="C50" s="29"/>
      <c r="D50" s="29"/>
      <c r="E50" s="30"/>
      <c r="F50" s="31">
        <v>0.75</v>
      </c>
      <c r="G50" s="31">
        <v>0.7708333333333334</v>
      </c>
      <c r="H50" s="32" t="s">
        <v>7</v>
      </c>
      <c r="I50" s="33">
        <v>0.020833333333333332</v>
      </c>
      <c r="J50" s="34" t="s">
        <v>8</v>
      </c>
      <c r="K50" s="30"/>
      <c r="L50" s="30"/>
      <c r="M50" s="35" t="s">
        <v>2</v>
      </c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8"/>
      <c r="C51" s="29"/>
      <c r="D51" s="29"/>
      <c r="E51" s="30"/>
      <c r="F51" s="31">
        <v>0.7708333333333334</v>
      </c>
      <c r="G51" s="31">
        <v>1.0</v>
      </c>
      <c r="H51" s="36" t="s">
        <v>9</v>
      </c>
      <c r="I51" s="33">
        <v>0.22916666666666666</v>
      </c>
      <c r="J51" s="34" t="s">
        <v>28</v>
      </c>
      <c r="K51" s="30"/>
      <c r="L51" s="30"/>
      <c r="M51" s="41" t="s">
        <v>2</v>
      </c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8"/>
      <c r="C52" s="29"/>
      <c r="D52" s="29"/>
      <c r="E52" s="30"/>
      <c r="F52" s="29"/>
      <c r="G52" s="29"/>
      <c r="H52" s="29"/>
      <c r="I52" s="33">
        <v>0.0</v>
      </c>
      <c r="J52" s="30"/>
      <c r="K52" s="30"/>
      <c r="L52" s="30"/>
      <c r="M52" s="29"/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39">
        <v>46301.0</v>
      </c>
      <c r="C53" s="31">
        <v>0.0</v>
      </c>
      <c r="D53" s="31">
        <v>0.5416666666666666</v>
      </c>
      <c r="E53" s="34" t="s">
        <v>30</v>
      </c>
      <c r="F53" s="31">
        <v>0.0</v>
      </c>
      <c r="G53" s="31">
        <v>0.25</v>
      </c>
      <c r="H53" s="36" t="s">
        <v>9</v>
      </c>
      <c r="I53" s="33">
        <v>0.25</v>
      </c>
      <c r="J53" s="34" t="s">
        <v>28</v>
      </c>
      <c r="K53" s="30"/>
      <c r="L53" s="30"/>
      <c r="M53" s="41" t="s">
        <v>2</v>
      </c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8"/>
      <c r="C54" s="29"/>
      <c r="D54" s="29"/>
      <c r="E54" s="30"/>
      <c r="F54" s="31">
        <v>0.3333333333333333</v>
      </c>
      <c r="G54" s="31">
        <v>0.5416666666666666</v>
      </c>
      <c r="H54" s="40" t="s">
        <v>5</v>
      </c>
      <c r="I54" s="33">
        <v>0.20833333333333334</v>
      </c>
      <c r="J54" s="34" t="s">
        <v>31</v>
      </c>
      <c r="K54" s="30"/>
      <c r="L54" s="30"/>
      <c r="M54" s="35" t="s">
        <v>2</v>
      </c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8"/>
      <c r="C55" s="29"/>
      <c r="D55" s="29"/>
      <c r="E55" s="30"/>
      <c r="F55" s="29"/>
      <c r="G55" s="29"/>
      <c r="H55" s="29"/>
      <c r="I55" s="33">
        <v>0.0</v>
      </c>
      <c r="J55" s="30"/>
      <c r="K55" s="30"/>
      <c r="L55" s="30"/>
      <c r="M55" s="29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8"/>
      <c r="C56" s="29"/>
      <c r="D56" s="29"/>
      <c r="E56" s="30"/>
      <c r="F56" s="29"/>
      <c r="G56" s="29"/>
      <c r="H56" s="29"/>
      <c r="I56" s="33">
        <v>0.0</v>
      </c>
      <c r="J56" s="30"/>
      <c r="K56" s="30"/>
      <c r="L56" s="30"/>
      <c r="M56" s="29"/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39">
        <v>46332.0</v>
      </c>
      <c r="C57" s="31">
        <v>0.4166666666666667</v>
      </c>
      <c r="D57" s="31">
        <v>0.8125</v>
      </c>
      <c r="E57" s="34" t="s">
        <v>4</v>
      </c>
      <c r="F57" s="31">
        <v>0.4166666666666667</v>
      </c>
      <c r="G57" s="31">
        <v>0.4583333333333333</v>
      </c>
      <c r="H57" s="40" t="s">
        <v>5</v>
      </c>
      <c r="I57" s="33">
        <v>0.041666666666666664</v>
      </c>
      <c r="J57" s="34" t="s">
        <v>22</v>
      </c>
      <c r="K57" s="30"/>
      <c r="L57" s="30"/>
      <c r="M57" s="35" t="s">
        <v>2</v>
      </c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8"/>
      <c r="C58" s="29"/>
      <c r="D58" s="29"/>
      <c r="E58" s="30"/>
      <c r="F58" s="31">
        <v>0.4583333333333333</v>
      </c>
      <c r="G58" s="31">
        <v>0.5833333333333334</v>
      </c>
      <c r="H58" s="36" t="s">
        <v>9</v>
      </c>
      <c r="I58" s="33">
        <v>0.125</v>
      </c>
      <c r="J58" s="34" t="s">
        <v>28</v>
      </c>
      <c r="K58" s="30"/>
      <c r="L58" s="30"/>
      <c r="M58" s="41" t="s">
        <v>2</v>
      </c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8"/>
      <c r="C59" s="29"/>
      <c r="D59" s="29"/>
      <c r="E59" s="30"/>
      <c r="F59" s="31">
        <v>0.625</v>
      </c>
      <c r="G59" s="31">
        <v>0.75</v>
      </c>
      <c r="H59" s="40" t="s">
        <v>5</v>
      </c>
      <c r="I59" s="33">
        <v>0.125</v>
      </c>
      <c r="J59" s="34" t="s">
        <v>32</v>
      </c>
      <c r="K59" s="30"/>
      <c r="L59" s="30"/>
      <c r="M59" s="35" t="s">
        <v>2</v>
      </c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8"/>
      <c r="C60" s="29"/>
      <c r="D60" s="29"/>
      <c r="E60" s="30"/>
      <c r="F60" s="31">
        <v>0.75</v>
      </c>
      <c r="G60" s="31">
        <v>0.7708333333333334</v>
      </c>
      <c r="H60" s="32" t="s">
        <v>7</v>
      </c>
      <c r="I60" s="33">
        <v>0.020833333333333332</v>
      </c>
      <c r="J60" s="34" t="s">
        <v>8</v>
      </c>
      <c r="K60" s="30"/>
      <c r="L60" s="30"/>
      <c r="M60" s="35" t="s">
        <v>2</v>
      </c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8"/>
      <c r="C61" s="29"/>
      <c r="D61" s="29"/>
      <c r="E61" s="30"/>
      <c r="F61" s="31">
        <v>0.7708333333333334</v>
      </c>
      <c r="G61" s="31">
        <v>0.8125</v>
      </c>
      <c r="H61" s="40" t="s">
        <v>5</v>
      </c>
      <c r="I61" s="33">
        <v>0.041666666666666664</v>
      </c>
      <c r="J61" s="34" t="s">
        <v>33</v>
      </c>
      <c r="K61" s="30"/>
      <c r="L61" s="30"/>
      <c r="M61" s="35" t="s">
        <v>2</v>
      </c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8"/>
      <c r="C62" s="29"/>
      <c r="D62" s="29"/>
      <c r="E62" s="30"/>
      <c r="F62" s="29"/>
      <c r="G62" s="29"/>
      <c r="H62" s="29"/>
      <c r="I62" s="33">
        <v>0.0</v>
      </c>
      <c r="J62" s="30"/>
      <c r="K62" s="30"/>
      <c r="L62" s="30"/>
      <c r="M62" s="29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39">
        <v>46362.0</v>
      </c>
      <c r="C63" s="31">
        <v>0.4166666666666667</v>
      </c>
      <c r="D63" s="31">
        <v>0.8125</v>
      </c>
      <c r="E63" s="34" t="s">
        <v>4</v>
      </c>
      <c r="F63" s="31">
        <v>0.4166666666666667</v>
      </c>
      <c r="G63" s="31">
        <v>0.4583333333333333</v>
      </c>
      <c r="H63" s="40" t="s">
        <v>5</v>
      </c>
      <c r="I63" s="33">
        <v>0.041666666666666664</v>
      </c>
      <c r="J63" s="34" t="s">
        <v>22</v>
      </c>
      <c r="K63" s="30"/>
      <c r="L63" s="30"/>
      <c r="M63" s="35" t="s">
        <v>2</v>
      </c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8"/>
      <c r="C64" s="29"/>
      <c r="D64" s="29"/>
      <c r="E64" s="30"/>
      <c r="F64" s="31">
        <v>0.4583333333333333</v>
      </c>
      <c r="G64" s="31">
        <v>0.5833333333333334</v>
      </c>
      <c r="H64" s="36" t="s">
        <v>9</v>
      </c>
      <c r="I64" s="33">
        <v>0.125</v>
      </c>
      <c r="J64" s="34" t="s">
        <v>28</v>
      </c>
      <c r="K64" s="30"/>
      <c r="L64" s="30"/>
      <c r="M64" s="41" t="s">
        <v>2</v>
      </c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8"/>
      <c r="C65" s="29"/>
      <c r="D65" s="29"/>
      <c r="E65" s="30"/>
      <c r="F65" s="31">
        <v>0.625</v>
      </c>
      <c r="G65" s="31">
        <v>0.75</v>
      </c>
      <c r="H65" s="40" t="s">
        <v>5</v>
      </c>
      <c r="I65" s="33">
        <v>0.125</v>
      </c>
      <c r="J65" s="34" t="s">
        <v>28</v>
      </c>
      <c r="K65" s="30"/>
      <c r="L65" s="30"/>
      <c r="M65" s="41" t="s">
        <v>2</v>
      </c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28"/>
      <c r="C66" s="29"/>
      <c r="D66" s="29"/>
      <c r="E66" s="30"/>
      <c r="F66" s="31">
        <v>0.75</v>
      </c>
      <c r="G66" s="31">
        <v>0.7708333333333334</v>
      </c>
      <c r="H66" s="32" t="s">
        <v>7</v>
      </c>
      <c r="I66" s="33">
        <v>0.020833333333333332</v>
      </c>
      <c r="J66" s="34" t="s">
        <v>8</v>
      </c>
      <c r="K66" s="30"/>
      <c r="L66" s="30"/>
      <c r="M66" s="35" t="s">
        <v>2</v>
      </c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28"/>
      <c r="C67" s="29"/>
      <c r="D67" s="29"/>
      <c r="E67" s="30"/>
      <c r="F67" s="31">
        <v>0.7708333333333334</v>
      </c>
      <c r="G67" s="31">
        <v>0.8125</v>
      </c>
      <c r="H67" s="40" t="s">
        <v>5</v>
      </c>
      <c r="I67" s="33">
        <v>0.041666666666666664</v>
      </c>
      <c r="J67" s="34" t="s">
        <v>34</v>
      </c>
      <c r="K67" s="30"/>
      <c r="L67" s="30"/>
      <c r="M67" s="35" t="s">
        <v>2</v>
      </c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28"/>
      <c r="C68" s="29"/>
      <c r="D68" s="29"/>
      <c r="E68" s="30"/>
      <c r="F68" s="29"/>
      <c r="G68" s="29"/>
      <c r="H68" s="29"/>
      <c r="I68" s="33">
        <v>0.0</v>
      </c>
      <c r="J68" s="30"/>
      <c r="K68" s="30"/>
      <c r="L68" s="30"/>
      <c r="M68" s="29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47" t="s">
        <v>35</v>
      </c>
      <c r="C69" s="31">
        <v>0.4166666666666667</v>
      </c>
      <c r="D69" s="31">
        <v>0.75</v>
      </c>
      <c r="E69" s="34" t="s">
        <v>30</v>
      </c>
      <c r="F69" s="31">
        <v>0.4166666666666667</v>
      </c>
      <c r="G69" s="31">
        <v>0.5833333333333334</v>
      </c>
      <c r="H69" s="36" t="s">
        <v>9</v>
      </c>
      <c r="I69" s="33">
        <v>0.16666666666666666</v>
      </c>
      <c r="J69" s="34" t="s">
        <v>36</v>
      </c>
      <c r="K69" s="30"/>
      <c r="L69" s="30"/>
      <c r="M69" s="29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28"/>
      <c r="C70" s="29"/>
      <c r="D70" s="29"/>
      <c r="E70" s="30"/>
      <c r="F70" s="31">
        <v>0.625</v>
      </c>
      <c r="G70" s="31">
        <v>0.75</v>
      </c>
      <c r="H70" s="40" t="s">
        <v>5</v>
      </c>
      <c r="I70" s="33">
        <v>0.125</v>
      </c>
      <c r="J70" s="34" t="s">
        <v>37</v>
      </c>
      <c r="K70" s="30"/>
      <c r="L70" s="30"/>
      <c r="M70" s="35" t="s">
        <v>2</v>
      </c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28"/>
      <c r="C71" s="29"/>
      <c r="D71" s="29"/>
      <c r="E71" s="30"/>
      <c r="F71" s="29"/>
      <c r="G71" s="29"/>
      <c r="H71" s="29"/>
      <c r="I71" s="33">
        <v>0.0</v>
      </c>
      <c r="J71" s="30"/>
      <c r="K71" s="30"/>
      <c r="L71" s="30"/>
      <c r="M71" s="35" t="s">
        <v>2</v>
      </c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48" t="s">
        <v>38</v>
      </c>
      <c r="C72" s="43"/>
      <c r="D72" s="43"/>
      <c r="E72" s="44"/>
      <c r="F72" s="43"/>
      <c r="G72" s="43"/>
      <c r="H72" s="43"/>
      <c r="I72" s="45">
        <v>0.0</v>
      </c>
      <c r="J72" s="46" t="s">
        <v>24</v>
      </c>
      <c r="K72" s="44"/>
      <c r="L72" s="44"/>
      <c r="M72" s="43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28"/>
      <c r="C73" s="29"/>
      <c r="D73" s="29"/>
      <c r="E73" s="30"/>
      <c r="F73" s="29"/>
      <c r="G73" s="29"/>
      <c r="H73" s="29"/>
      <c r="I73" s="33">
        <v>0.0</v>
      </c>
      <c r="J73" s="30"/>
      <c r="K73" s="30"/>
      <c r="L73" s="30"/>
      <c r="M73" s="29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47" t="s">
        <v>39</v>
      </c>
      <c r="C74" s="31">
        <v>0.4166666666666667</v>
      </c>
      <c r="D74" s="31">
        <v>0.8125</v>
      </c>
      <c r="E74" s="34" t="s">
        <v>40</v>
      </c>
      <c r="F74" s="31">
        <v>0.4166666666666667</v>
      </c>
      <c r="G74" s="31">
        <v>0.5833333333333334</v>
      </c>
      <c r="H74" s="40" t="s">
        <v>5</v>
      </c>
      <c r="I74" s="33">
        <v>0.16666666666666666</v>
      </c>
      <c r="J74" s="34" t="s">
        <v>41</v>
      </c>
      <c r="K74" s="30"/>
      <c r="L74" s="30"/>
      <c r="M74" s="35" t="s">
        <v>2</v>
      </c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28"/>
      <c r="C75" s="29"/>
      <c r="D75" s="29"/>
      <c r="E75" s="30"/>
      <c r="F75" s="31">
        <v>0.625</v>
      </c>
      <c r="G75" s="31">
        <v>0.8125</v>
      </c>
      <c r="H75" s="36" t="s">
        <v>9</v>
      </c>
      <c r="I75" s="33">
        <v>0.1875</v>
      </c>
      <c r="J75" s="34" t="s">
        <v>42</v>
      </c>
      <c r="K75" s="30"/>
      <c r="L75" s="30"/>
      <c r="M75" s="41" t="s">
        <v>2</v>
      </c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28"/>
      <c r="C76" s="29"/>
      <c r="D76" s="29"/>
      <c r="E76" s="30"/>
      <c r="F76" s="29"/>
      <c r="G76" s="29"/>
      <c r="H76" s="29"/>
      <c r="I76" s="33">
        <v>0.0</v>
      </c>
      <c r="J76" s="30"/>
      <c r="K76" s="30"/>
      <c r="L76" s="30"/>
      <c r="M76" s="29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47" t="s">
        <v>43</v>
      </c>
      <c r="C77" s="31">
        <v>0.4166666666666667</v>
      </c>
      <c r="D77" s="31">
        <v>0.7708333333333334</v>
      </c>
      <c r="E77" s="34" t="s">
        <v>4</v>
      </c>
      <c r="F77" s="31">
        <v>0.4166666666666667</v>
      </c>
      <c r="G77" s="31">
        <v>0.4583333333333333</v>
      </c>
      <c r="H77" s="40" t="s">
        <v>5</v>
      </c>
      <c r="I77" s="33">
        <v>0.041666666666666664</v>
      </c>
      <c r="J77" s="34" t="s">
        <v>44</v>
      </c>
      <c r="K77" s="30"/>
      <c r="L77" s="30"/>
      <c r="M77" s="35" t="s">
        <v>2</v>
      </c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28"/>
      <c r="C78" s="29"/>
      <c r="D78" s="29"/>
      <c r="E78" s="30"/>
      <c r="F78" s="31">
        <v>0.4583333333333333</v>
      </c>
      <c r="G78" s="31">
        <v>0.4791666666666667</v>
      </c>
      <c r="H78" s="32" t="s">
        <v>7</v>
      </c>
      <c r="I78" s="33">
        <v>0.020833333333333332</v>
      </c>
      <c r="J78" s="34" t="s">
        <v>8</v>
      </c>
      <c r="K78" s="30"/>
      <c r="L78" s="30"/>
      <c r="M78" s="35" t="s">
        <v>2</v>
      </c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28"/>
      <c r="C79" s="29"/>
      <c r="D79" s="29"/>
      <c r="E79" s="30"/>
      <c r="F79" s="31">
        <v>0.4791666666666667</v>
      </c>
      <c r="G79" s="31">
        <v>0.5833333333333334</v>
      </c>
      <c r="H79" s="36" t="s">
        <v>9</v>
      </c>
      <c r="I79" s="33">
        <v>0.10416666666666667</v>
      </c>
      <c r="J79" s="34" t="s">
        <v>45</v>
      </c>
      <c r="K79" s="30"/>
      <c r="L79" s="30"/>
      <c r="M79" s="35" t="s">
        <v>2</v>
      </c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28"/>
      <c r="C80" s="29"/>
      <c r="D80" s="29"/>
      <c r="E80" s="30"/>
      <c r="F80" s="31">
        <v>0.625</v>
      </c>
      <c r="G80" s="31">
        <v>0.75</v>
      </c>
      <c r="H80" s="40" t="s">
        <v>5</v>
      </c>
      <c r="I80" s="33">
        <v>0.125</v>
      </c>
      <c r="J80" s="34" t="s">
        <v>46</v>
      </c>
      <c r="K80" s="30"/>
      <c r="L80" s="30"/>
      <c r="M80" s="35" t="s">
        <v>2</v>
      </c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28"/>
      <c r="C81" s="29"/>
      <c r="D81" s="29"/>
      <c r="E81" s="30"/>
      <c r="F81" s="31">
        <v>0.75</v>
      </c>
      <c r="G81" s="31">
        <v>0.7708333333333334</v>
      </c>
      <c r="H81" s="32" t="s">
        <v>7</v>
      </c>
      <c r="I81" s="33">
        <v>0.020833333333333332</v>
      </c>
      <c r="J81" s="34" t="s">
        <v>8</v>
      </c>
      <c r="K81" s="30"/>
      <c r="L81" s="30"/>
      <c r="M81" s="35" t="s">
        <v>2</v>
      </c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28"/>
      <c r="C82" s="29"/>
      <c r="D82" s="29"/>
      <c r="E82" s="30"/>
      <c r="F82" s="29"/>
      <c r="G82" s="29"/>
      <c r="H82" s="29"/>
      <c r="I82" s="33">
        <v>0.0</v>
      </c>
      <c r="J82" s="30"/>
      <c r="K82" s="30"/>
      <c r="L82" s="30"/>
      <c r="M82" s="29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47" t="s">
        <v>47</v>
      </c>
      <c r="C83" s="31">
        <v>0.4166666666666667</v>
      </c>
      <c r="D83" s="31">
        <v>0.0</v>
      </c>
      <c r="E83" s="34" t="s">
        <v>4</v>
      </c>
      <c r="F83" s="31">
        <v>0.4166666666666667</v>
      </c>
      <c r="G83" s="31">
        <v>0.4583333333333333</v>
      </c>
      <c r="H83" s="40" t="s">
        <v>5</v>
      </c>
      <c r="I83" s="33">
        <v>0.041666666666666664</v>
      </c>
      <c r="J83" s="34" t="s">
        <v>48</v>
      </c>
      <c r="K83" s="30"/>
      <c r="L83" s="30"/>
      <c r="M83" s="35" t="s">
        <v>2</v>
      </c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28"/>
      <c r="C84" s="29"/>
      <c r="D84" s="29"/>
      <c r="E84" s="30"/>
      <c r="F84" s="31">
        <v>0.4583333333333333</v>
      </c>
      <c r="G84" s="31">
        <v>0.4791666666666667</v>
      </c>
      <c r="H84" s="32" t="s">
        <v>7</v>
      </c>
      <c r="I84" s="33">
        <v>0.020833333333333332</v>
      </c>
      <c r="J84" s="34" t="s">
        <v>8</v>
      </c>
      <c r="K84" s="30"/>
      <c r="L84" s="30"/>
      <c r="M84" s="35" t="s">
        <v>2</v>
      </c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28"/>
      <c r="C85" s="29"/>
      <c r="D85" s="29"/>
      <c r="E85" s="30"/>
      <c r="F85" s="31">
        <v>0.4791666666666667</v>
      </c>
      <c r="G85" s="31">
        <v>0.5833333333333334</v>
      </c>
      <c r="H85" s="36" t="s">
        <v>9</v>
      </c>
      <c r="I85" s="33">
        <v>0.10416666666666667</v>
      </c>
      <c r="J85" s="49" t="s">
        <v>49</v>
      </c>
      <c r="K85" s="30"/>
      <c r="L85" s="30"/>
      <c r="M85" s="35" t="s">
        <v>2</v>
      </c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28"/>
      <c r="C86" s="29"/>
      <c r="D86" s="29"/>
      <c r="E86" s="30"/>
      <c r="F86" s="31">
        <v>0.625</v>
      </c>
      <c r="G86" s="31">
        <v>0.6666666666666666</v>
      </c>
      <c r="H86" s="40" t="s">
        <v>5</v>
      </c>
      <c r="I86" s="33">
        <v>0.041666666666666664</v>
      </c>
      <c r="J86" s="34" t="s">
        <v>50</v>
      </c>
      <c r="K86" s="30"/>
      <c r="L86" s="30"/>
      <c r="M86" s="35" t="s">
        <v>2</v>
      </c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28"/>
      <c r="C87" s="29"/>
      <c r="D87" s="29"/>
      <c r="E87" s="30"/>
      <c r="F87" s="31">
        <v>0.6666666666666666</v>
      </c>
      <c r="G87" s="31">
        <v>0.8333333333333334</v>
      </c>
      <c r="H87" s="32" t="s">
        <v>7</v>
      </c>
      <c r="I87" s="33">
        <v>0.16666666666666666</v>
      </c>
      <c r="J87" s="34" t="s">
        <v>51</v>
      </c>
      <c r="K87" s="30"/>
      <c r="L87" s="30"/>
      <c r="M87" s="35" t="s">
        <v>2</v>
      </c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28"/>
      <c r="C88" s="29"/>
      <c r="D88" s="29"/>
      <c r="E88" s="30"/>
      <c r="F88" s="31">
        <v>0.8958333333333334</v>
      </c>
      <c r="G88" s="31">
        <v>0.0</v>
      </c>
      <c r="H88" s="36" t="s">
        <v>9</v>
      </c>
      <c r="I88" s="33">
        <v>0.10416666666666667</v>
      </c>
      <c r="J88" s="34" t="s">
        <v>52</v>
      </c>
      <c r="K88" s="30"/>
      <c r="L88" s="30"/>
      <c r="M88" s="41" t="s">
        <v>2</v>
      </c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28"/>
      <c r="C89" s="29"/>
      <c r="D89" s="29"/>
      <c r="E89" s="30"/>
      <c r="F89" s="29"/>
      <c r="G89" s="29"/>
      <c r="H89" s="29"/>
      <c r="I89" s="33">
        <v>0.0</v>
      </c>
      <c r="J89" s="30"/>
      <c r="K89" s="30"/>
      <c r="L89" s="30"/>
      <c r="M89" s="29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47" t="s">
        <v>53</v>
      </c>
      <c r="C90" s="31">
        <v>0.0</v>
      </c>
      <c r="D90" s="31">
        <v>0.20833333333333334</v>
      </c>
      <c r="E90" s="30"/>
      <c r="F90" s="31">
        <v>0.0</v>
      </c>
      <c r="G90" s="31">
        <v>0.20833333333333334</v>
      </c>
      <c r="H90" s="40" t="s">
        <v>5</v>
      </c>
      <c r="I90" s="33">
        <v>0.20833333333333334</v>
      </c>
      <c r="J90" s="34" t="s">
        <v>54</v>
      </c>
      <c r="K90" s="30"/>
      <c r="L90" s="30"/>
      <c r="M90" s="35" t="s">
        <v>2</v>
      </c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28"/>
      <c r="C91" s="29"/>
      <c r="D91" s="29"/>
      <c r="E91" s="30"/>
      <c r="F91" s="29"/>
      <c r="G91" s="29"/>
      <c r="H91" s="29"/>
      <c r="I91" s="33">
        <v>0.0</v>
      </c>
      <c r="J91" s="30"/>
      <c r="K91" s="30"/>
      <c r="L91" s="30"/>
      <c r="M91" s="29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28"/>
      <c r="C92" s="29"/>
      <c r="D92" s="29"/>
      <c r="E92" s="30"/>
      <c r="F92" s="29"/>
      <c r="G92" s="29"/>
      <c r="H92" s="29"/>
      <c r="I92" s="33"/>
      <c r="J92" s="30"/>
      <c r="K92" s="30"/>
      <c r="L92" s="30"/>
      <c r="M92" s="29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48" t="s">
        <v>55</v>
      </c>
      <c r="C93" s="43"/>
      <c r="D93" s="43"/>
      <c r="E93" s="44"/>
      <c r="F93" s="43"/>
      <c r="G93" s="43"/>
      <c r="H93" s="43"/>
      <c r="I93" s="45">
        <v>0.0</v>
      </c>
      <c r="J93" s="50" t="s">
        <v>56</v>
      </c>
      <c r="K93" s="43"/>
      <c r="L93" s="43"/>
      <c r="M93" s="44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28"/>
      <c r="C94" s="29"/>
      <c r="D94" s="29"/>
      <c r="E94" s="30"/>
      <c r="F94" s="31"/>
      <c r="G94" s="31"/>
      <c r="H94" s="29"/>
      <c r="I94" s="33"/>
      <c r="J94" s="34"/>
      <c r="K94" s="30"/>
      <c r="L94" s="30"/>
      <c r="M94" s="29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47" t="s">
        <v>57</v>
      </c>
      <c r="C95" s="31">
        <v>0.4166666666666667</v>
      </c>
      <c r="D95" s="31">
        <v>0.7708333333333334</v>
      </c>
      <c r="E95" s="34" t="s">
        <v>4</v>
      </c>
      <c r="F95" s="31">
        <v>0.4375</v>
      </c>
      <c r="G95" s="31">
        <v>0.4583333333333333</v>
      </c>
      <c r="H95" s="40" t="s">
        <v>5</v>
      </c>
      <c r="I95" s="33">
        <v>0.020833333333333332</v>
      </c>
      <c r="J95" s="34" t="s">
        <v>4</v>
      </c>
      <c r="K95" s="30"/>
      <c r="L95" s="30"/>
      <c r="M95" s="35" t="s">
        <v>2</v>
      </c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28"/>
      <c r="C96" s="29"/>
      <c r="D96" s="29"/>
      <c r="E96" s="30"/>
      <c r="F96" s="31">
        <v>0.4583333333333333</v>
      </c>
      <c r="G96" s="31">
        <v>0.4791666666666667</v>
      </c>
      <c r="H96" s="32" t="s">
        <v>7</v>
      </c>
      <c r="I96" s="33">
        <v>0.020833333333333332</v>
      </c>
      <c r="J96" s="34" t="s">
        <v>8</v>
      </c>
      <c r="K96" s="30"/>
      <c r="L96" s="30"/>
      <c r="M96" s="35" t="s">
        <v>2</v>
      </c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28"/>
      <c r="C97" s="29"/>
      <c r="D97" s="29"/>
      <c r="E97" s="30"/>
      <c r="F97" s="31">
        <v>0.5</v>
      </c>
      <c r="G97" s="31">
        <v>0.5833333333333334</v>
      </c>
      <c r="H97" s="40" t="s">
        <v>5</v>
      </c>
      <c r="I97" s="33">
        <v>0.08333333333333333</v>
      </c>
      <c r="J97" s="34" t="s">
        <v>58</v>
      </c>
      <c r="K97" s="30"/>
      <c r="L97" s="30"/>
      <c r="M97" s="35" t="s">
        <v>2</v>
      </c>
      <c r="N97" s="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28"/>
      <c r="C98" s="29"/>
      <c r="D98" s="29"/>
      <c r="E98" s="30"/>
      <c r="F98" s="31">
        <v>0.625</v>
      </c>
      <c r="G98" s="31">
        <v>0.75</v>
      </c>
      <c r="H98" s="36" t="s">
        <v>9</v>
      </c>
      <c r="I98" s="33">
        <v>0.125</v>
      </c>
      <c r="J98" s="34" t="s">
        <v>59</v>
      </c>
      <c r="K98" s="51"/>
      <c r="L98" s="51"/>
      <c r="M98" s="52"/>
      <c r="N98" s="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28"/>
      <c r="C99" s="29"/>
      <c r="D99" s="29"/>
      <c r="E99" s="30"/>
      <c r="F99" s="31">
        <v>0.75</v>
      </c>
      <c r="G99" s="31">
        <v>0.7708333333333334</v>
      </c>
      <c r="H99" s="32" t="s">
        <v>7</v>
      </c>
      <c r="I99" s="33">
        <v>0.020833333333333332</v>
      </c>
      <c r="J99" s="34" t="s">
        <v>8</v>
      </c>
      <c r="K99" s="30"/>
      <c r="L99" s="30"/>
      <c r="M99" s="29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28"/>
      <c r="C100" s="29"/>
      <c r="D100" s="29"/>
      <c r="E100" s="30"/>
      <c r="F100" s="31">
        <v>0.7708333333333334</v>
      </c>
      <c r="G100" s="31">
        <v>0.7916666666666666</v>
      </c>
      <c r="H100" s="40" t="s">
        <v>5</v>
      </c>
      <c r="I100" s="33">
        <v>0.020833333333333332</v>
      </c>
      <c r="J100" s="34" t="s">
        <v>60</v>
      </c>
      <c r="K100" s="30"/>
      <c r="L100" s="30"/>
      <c r="M100" s="35" t="s">
        <v>2</v>
      </c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28"/>
      <c r="C101" s="29"/>
      <c r="D101" s="29"/>
      <c r="E101" s="30"/>
      <c r="F101" s="29"/>
      <c r="G101" s="29"/>
      <c r="H101" s="29"/>
      <c r="I101" s="33"/>
      <c r="J101" s="30"/>
      <c r="K101" s="30"/>
      <c r="L101" s="30"/>
      <c r="M101" s="35" t="s">
        <v>2</v>
      </c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28"/>
      <c r="C102" s="29"/>
      <c r="D102" s="29"/>
      <c r="E102" s="30"/>
      <c r="F102" s="31"/>
      <c r="G102" s="31"/>
      <c r="H102" s="52"/>
      <c r="I102" s="33"/>
      <c r="J102" s="34"/>
      <c r="K102" s="30"/>
      <c r="L102" s="30"/>
      <c r="M102" s="35" t="s">
        <v>2</v>
      </c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47" t="s">
        <v>61</v>
      </c>
      <c r="C103" s="31">
        <v>0.4166666666666667</v>
      </c>
      <c r="D103" s="31">
        <v>0.7708333333333334</v>
      </c>
      <c r="E103" s="34" t="s">
        <v>4</v>
      </c>
      <c r="F103" s="31">
        <v>0.4375</v>
      </c>
      <c r="G103" s="31">
        <v>0.4583333333333333</v>
      </c>
      <c r="H103" s="40" t="s">
        <v>5</v>
      </c>
      <c r="I103" s="33">
        <v>0.020833333333333332</v>
      </c>
      <c r="J103" s="34" t="s">
        <v>62</v>
      </c>
      <c r="K103" s="30"/>
      <c r="L103" s="30"/>
      <c r="M103" s="35" t="s">
        <v>2</v>
      </c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28"/>
      <c r="C104" s="29"/>
      <c r="D104" s="29"/>
      <c r="E104" s="30"/>
      <c r="F104" s="31">
        <v>0.4583333333333333</v>
      </c>
      <c r="G104" s="31">
        <v>0.4791666666666667</v>
      </c>
      <c r="H104" s="32" t="s">
        <v>7</v>
      </c>
      <c r="I104" s="33">
        <v>0.020833333333333332</v>
      </c>
      <c r="J104" s="34" t="s">
        <v>8</v>
      </c>
      <c r="K104" s="30"/>
      <c r="L104" s="30"/>
      <c r="M104" s="35" t="s">
        <v>2</v>
      </c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28"/>
      <c r="C105" s="29"/>
      <c r="D105" s="29"/>
      <c r="E105" s="30"/>
      <c r="F105" s="31">
        <v>0.5</v>
      </c>
      <c r="G105" s="31">
        <v>0.5833333333333334</v>
      </c>
      <c r="H105" s="40" t="s">
        <v>5</v>
      </c>
      <c r="I105" s="33">
        <v>0.08333333333333333</v>
      </c>
      <c r="J105" s="34" t="s">
        <v>63</v>
      </c>
      <c r="K105" s="51"/>
      <c r="L105" s="51"/>
      <c r="M105" s="53" t="s">
        <v>2</v>
      </c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28"/>
      <c r="C106" s="29"/>
      <c r="D106" s="29"/>
      <c r="E106" s="30"/>
      <c r="F106" s="31">
        <v>0.625</v>
      </c>
      <c r="G106" s="31">
        <v>0.75</v>
      </c>
      <c r="H106" s="36" t="s">
        <v>9</v>
      </c>
      <c r="I106" s="33">
        <v>0.125</v>
      </c>
      <c r="J106" s="34" t="s">
        <v>64</v>
      </c>
      <c r="K106" s="51"/>
      <c r="L106" s="51"/>
      <c r="M106" s="53" t="s">
        <v>2</v>
      </c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28"/>
      <c r="C107" s="29"/>
      <c r="D107" s="29"/>
      <c r="E107" s="30"/>
      <c r="F107" s="31">
        <v>0.75</v>
      </c>
      <c r="G107" s="31">
        <v>0.7708333333333334</v>
      </c>
      <c r="H107" s="32" t="s">
        <v>7</v>
      </c>
      <c r="I107" s="33">
        <v>0.020833333333333332</v>
      </c>
      <c r="J107" s="34" t="s">
        <v>8</v>
      </c>
      <c r="K107" s="51"/>
      <c r="L107" s="51"/>
      <c r="M107" s="53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28"/>
      <c r="C108" s="29"/>
      <c r="D108" s="29"/>
      <c r="E108" s="30"/>
      <c r="F108" s="31">
        <v>0.7708333333333334</v>
      </c>
      <c r="G108" s="31">
        <v>0.7916666666666666</v>
      </c>
      <c r="H108" s="40" t="s">
        <v>5</v>
      </c>
      <c r="I108" s="33">
        <v>0.020833333333333332</v>
      </c>
      <c r="J108" s="34" t="s">
        <v>60</v>
      </c>
      <c r="K108" s="51"/>
      <c r="L108" s="51"/>
      <c r="M108" s="53" t="s">
        <v>2</v>
      </c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54"/>
      <c r="C109" s="55"/>
      <c r="D109" s="55"/>
      <c r="E109" s="51"/>
      <c r="F109" s="55"/>
      <c r="G109" s="55"/>
      <c r="H109" s="52"/>
      <c r="I109" s="56"/>
      <c r="J109" s="51"/>
      <c r="K109" s="51"/>
      <c r="L109" s="51"/>
      <c r="M109" s="52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54"/>
      <c r="C110" s="55"/>
      <c r="D110" s="55"/>
      <c r="E110" s="51"/>
      <c r="F110" s="55"/>
      <c r="G110" s="55"/>
      <c r="H110" s="52"/>
      <c r="I110" s="56"/>
      <c r="J110" s="51"/>
      <c r="K110" s="51"/>
      <c r="L110" s="51"/>
      <c r="M110" s="52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54"/>
      <c r="C111" s="55"/>
      <c r="D111" s="55"/>
      <c r="E111" s="51"/>
      <c r="F111" s="55"/>
      <c r="G111" s="55"/>
      <c r="H111" s="52"/>
      <c r="I111" s="56"/>
      <c r="J111" s="51"/>
      <c r="K111" s="51"/>
      <c r="L111" s="51"/>
      <c r="M111" s="52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47" t="s">
        <v>65</v>
      </c>
      <c r="C112" s="31">
        <v>0.4166666666666667</v>
      </c>
      <c r="D112" s="31">
        <v>0.7708333333333334</v>
      </c>
      <c r="E112" s="34" t="s">
        <v>4</v>
      </c>
      <c r="F112" s="31">
        <v>0.4375</v>
      </c>
      <c r="G112" s="31">
        <v>0.4583333333333333</v>
      </c>
      <c r="H112" s="40" t="s">
        <v>5</v>
      </c>
      <c r="I112" s="33">
        <v>0.020833333333333332</v>
      </c>
      <c r="J112" s="34" t="s">
        <v>66</v>
      </c>
      <c r="K112" s="30"/>
      <c r="L112" s="30"/>
      <c r="M112" s="35" t="s">
        <v>2</v>
      </c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28"/>
      <c r="C113" s="29"/>
      <c r="D113" s="29"/>
      <c r="E113" s="30"/>
      <c r="F113" s="31">
        <v>0.4583333333333333</v>
      </c>
      <c r="G113" s="31">
        <v>0.4791666666666667</v>
      </c>
      <c r="H113" s="32" t="s">
        <v>7</v>
      </c>
      <c r="I113" s="33">
        <v>0.020833333333333332</v>
      </c>
      <c r="J113" s="34" t="s">
        <v>8</v>
      </c>
      <c r="K113" s="30"/>
      <c r="L113" s="30"/>
      <c r="M113" s="35" t="s">
        <v>2</v>
      </c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28"/>
      <c r="C114" s="29"/>
      <c r="D114" s="29"/>
      <c r="E114" s="30"/>
      <c r="F114" s="31">
        <v>0.5</v>
      </c>
      <c r="G114" s="31">
        <v>0.5833333333333334</v>
      </c>
      <c r="H114" s="40" t="s">
        <v>5</v>
      </c>
      <c r="I114" s="33">
        <v>0.08333333333333333</v>
      </c>
      <c r="J114" s="34" t="s">
        <v>67</v>
      </c>
      <c r="K114" s="51"/>
      <c r="L114" s="51"/>
      <c r="M114" s="53" t="s">
        <v>2</v>
      </c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28"/>
      <c r="C115" s="29"/>
      <c r="D115" s="29"/>
      <c r="E115" s="30"/>
      <c r="F115" s="31">
        <v>0.625</v>
      </c>
      <c r="G115" s="31">
        <v>0.75</v>
      </c>
      <c r="H115" s="36" t="s">
        <v>9</v>
      </c>
      <c r="I115" s="33">
        <v>0.125</v>
      </c>
      <c r="J115" s="34" t="s">
        <v>68</v>
      </c>
      <c r="K115" s="51"/>
      <c r="L115" s="51"/>
      <c r="M115" s="53" t="s">
        <v>2</v>
      </c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28"/>
      <c r="C116" s="29"/>
      <c r="D116" s="29"/>
      <c r="E116" s="30"/>
      <c r="F116" s="31">
        <v>0.75</v>
      </c>
      <c r="G116" s="31">
        <v>0.7708333333333334</v>
      </c>
      <c r="H116" s="32" t="s">
        <v>7</v>
      </c>
      <c r="I116" s="33">
        <v>0.020833333333333332</v>
      </c>
      <c r="J116" s="34" t="s">
        <v>8</v>
      </c>
      <c r="K116" s="51"/>
      <c r="L116" s="51"/>
      <c r="M116" s="53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28"/>
      <c r="C117" s="29"/>
      <c r="D117" s="29"/>
      <c r="E117" s="30"/>
      <c r="F117" s="31">
        <v>0.7708333333333334</v>
      </c>
      <c r="G117" s="31">
        <v>0.7916666666666666</v>
      </c>
      <c r="H117" s="40" t="s">
        <v>5</v>
      </c>
      <c r="I117" s="33">
        <v>0.020833333333333332</v>
      </c>
      <c r="J117" s="34" t="s">
        <v>69</v>
      </c>
      <c r="K117" s="51"/>
      <c r="L117" s="51"/>
      <c r="M117" s="53" t="s">
        <v>2</v>
      </c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54"/>
      <c r="C118" s="55"/>
      <c r="D118" s="55"/>
      <c r="E118" s="51"/>
      <c r="F118" s="55"/>
      <c r="G118" s="55"/>
      <c r="H118" s="52"/>
      <c r="I118" s="56"/>
      <c r="J118" s="51"/>
      <c r="K118" s="51"/>
      <c r="L118" s="51"/>
      <c r="M118" s="52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47"/>
      <c r="C119" s="31"/>
      <c r="D119" s="31"/>
      <c r="E119" s="34"/>
      <c r="F119" s="31"/>
      <c r="G119" s="31"/>
      <c r="H119" s="40"/>
      <c r="I119" s="33"/>
      <c r="J119" s="34"/>
      <c r="K119" s="30"/>
      <c r="L119" s="30"/>
      <c r="M119" s="34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28"/>
      <c r="C120" s="29"/>
      <c r="D120" s="29"/>
      <c r="E120" s="30"/>
      <c r="F120" s="31"/>
      <c r="G120" s="31"/>
      <c r="H120" s="32"/>
      <c r="I120" s="33"/>
      <c r="J120" s="34"/>
      <c r="K120" s="30"/>
      <c r="L120" s="30"/>
      <c r="M120" s="34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47" t="s">
        <v>70</v>
      </c>
      <c r="C121" s="31">
        <v>0.4166666666666667</v>
      </c>
      <c r="D121" s="31">
        <v>0.7708333333333334</v>
      </c>
      <c r="E121" s="34" t="s">
        <v>4</v>
      </c>
      <c r="F121" s="31">
        <v>0.4375</v>
      </c>
      <c r="G121" s="31">
        <v>0.4583333333333333</v>
      </c>
      <c r="H121" s="40" t="s">
        <v>5</v>
      </c>
      <c r="I121" s="33">
        <v>0.020833333333333332</v>
      </c>
      <c r="J121" s="34" t="s">
        <v>71</v>
      </c>
      <c r="K121" s="30"/>
      <c r="L121" s="30"/>
      <c r="M121" s="35" t="s">
        <v>2</v>
      </c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28"/>
      <c r="C122" s="29"/>
      <c r="D122" s="29"/>
      <c r="E122" s="30"/>
      <c r="F122" s="31">
        <v>0.4583333333333333</v>
      </c>
      <c r="G122" s="31">
        <v>0.4791666666666667</v>
      </c>
      <c r="H122" s="32" t="s">
        <v>7</v>
      </c>
      <c r="I122" s="33">
        <v>0.020833333333333332</v>
      </c>
      <c r="J122" s="34" t="s">
        <v>8</v>
      </c>
      <c r="K122" s="30"/>
      <c r="L122" s="30"/>
      <c r="M122" s="34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28"/>
      <c r="C123" s="29"/>
      <c r="D123" s="29"/>
      <c r="E123" s="30"/>
      <c r="F123" s="31">
        <v>0.5</v>
      </c>
      <c r="G123" s="31">
        <v>0.5833333333333334</v>
      </c>
      <c r="H123" s="40" t="s">
        <v>5</v>
      </c>
      <c r="I123" s="33">
        <v>0.08333333333333333</v>
      </c>
      <c r="J123" s="34" t="s">
        <v>72</v>
      </c>
      <c r="K123" s="51"/>
      <c r="L123" s="51"/>
      <c r="M123" s="53" t="s">
        <v>2</v>
      </c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28"/>
      <c r="C124" s="29"/>
      <c r="D124" s="29"/>
      <c r="E124" s="30"/>
      <c r="F124" s="31">
        <v>0.625</v>
      </c>
      <c r="G124" s="31">
        <v>0.75</v>
      </c>
      <c r="H124" s="36" t="s">
        <v>9</v>
      </c>
      <c r="I124" s="33">
        <v>0.125</v>
      </c>
      <c r="J124" s="34" t="s">
        <v>73</v>
      </c>
      <c r="K124" s="51"/>
      <c r="L124" s="51"/>
      <c r="M124" s="53" t="s">
        <v>2</v>
      </c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28"/>
      <c r="C125" s="29"/>
      <c r="D125" s="29"/>
      <c r="E125" s="30"/>
      <c r="F125" s="31">
        <v>0.75</v>
      </c>
      <c r="G125" s="31">
        <v>0.7708333333333334</v>
      </c>
      <c r="H125" s="32" t="s">
        <v>7</v>
      </c>
      <c r="I125" s="33">
        <v>0.020833333333333332</v>
      </c>
      <c r="J125" s="34" t="s">
        <v>8</v>
      </c>
      <c r="K125" s="51"/>
      <c r="L125" s="51"/>
      <c r="M125" s="53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28"/>
      <c r="C126" s="29"/>
      <c r="D126" s="29"/>
      <c r="E126" s="30"/>
      <c r="F126" s="31">
        <v>0.7708333333333334</v>
      </c>
      <c r="G126" s="31">
        <v>0.7916666666666666</v>
      </c>
      <c r="H126" s="40" t="s">
        <v>5</v>
      </c>
      <c r="I126" s="33">
        <v>0.020833333333333332</v>
      </c>
      <c r="J126" s="34" t="s">
        <v>74</v>
      </c>
      <c r="K126" s="51"/>
      <c r="L126" s="51"/>
      <c r="M126" s="53" t="s">
        <v>2</v>
      </c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54"/>
      <c r="C127" s="55"/>
      <c r="D127" s="55"/>
      <c r="E127" s="51"/>
      <c r="F127" s="55"/>
      <c r="G127" s="55"/>
      <c r="H127" s="52"/>
      <c r="I127" s="56"/>
      <c r="J127" s="51"/>
      <c r="K127" s="51"/>
      <c r="L127" s="51"/>
      <c r="M127" s="52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54"/>
      <c r="C128" s="55"/>
      <c r="D128" s="55"/>
      <c r="E128" s="51"/>
      <c r="F128" s="55"/>
      <c r="G128" s="55"/>
      <c r="H128" s="52"/>
      <c r="I128" s="56"/>
      <c r="J128" s="51"/>
      <c r="K128" s="51"/>
      <c r="L128" s="51"/>
      <c r="M128" s="52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54"/>
      <c r="C129" s="55"/>
      <c r="D129" s="55"/>
      <c r="E129" s="51"/>
      <c r="F129" s="55"/>
      <c r="G129" s="55"/>
      <c r="H129" s="52"/>
      <c r="I129" s="56"/>
      <c r="J129" s="51"/>
      <c r="K129" s="51"/>
      <c r="L129" s="51"/>
      <c r="M129" s="52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28"/>
      <c r="C130" s="29"/>
      <c r="D130" s="29"/>
      <c r="E130" s="30"/>
      <c r="F130" s="31"/>
      <c r="G130" s="31"/>
      <c r="H130" s="32"/>
      <c r="I130" s="33"/>
      <c r="J130" s="34"/>
      <c r="K130" s="30"/>
      <c r="L130" s="30"/>
      <c r="M130" s="34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47" t="s">
        <v>75</v>
      </c>
      <c r="C131" s="31">
        <v>0.4166666666666667</v>
      </c>
      <c r="D131" s="31">
        <v>0.7708333333333334</v>
      </c>
      <c r="E131" s="34" t="s">
        <v>4</v>
      </c>
      <c r="F131" s="31">
        <v>0.4375</v>
      </c>
      <c r="G131" s="31">
        <v>0.4583333333333333</v>
      </c>
      <c r="H131" s="40" t="s">
        <v>5</v>
      </c>
      <c r="I131" s="33">
        <v>0.020833333333333332</v>
      </c>
      <c r="J131" s="34" t="s">
        <v>76</v>
      </c>
      <c r="K131" s="30"/>
      <c r="L131" s="30"/>
      <c r="M131" s="35" t="s">
        <v>2</v>
      </c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28"/>
      <c r="C132" s="29"/>
      <c r="D132" s="29"/>
      <c r="E132" s="30"/>
      <c r="F132" s="31">
        <v>0.4583333333333333</v>
      </c>
      <c r="G132" s="31">
        <v>0.4791666666666667</v>
      </c>
      <c r="H132" s="32" t="s">
        <v>7</v>
      </c>
      <c r="I132" s="33">
        <v>0.020833333333333332</v>
      </c>
      <c r="J132" s="34" t="s">
        <v>8</v>
      </c>
      <c r="K132" s="30"/>
      <c r="L132" s="30"/>
      <c r="M132" s="34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28"/>
      <c r="C133" s="29"/>
      <c r="D133" s="29"/>
      <c r="E133" s="30"/>
      <c r="F133" s="31">
        <v>0.5</v>
      </c>
      <c r="G133" s="31">
        <v>0.5833333333333334</v>
      </c>
      <c r="H133" s="40" t="s">
        <v>5</v>
      </c>
      <c r="I133" s="33">
        <v>0.08333333333333333</v>
      </c>
      <c r="J133" s="34" t="s">
        <v>72</v>
      </c>
      <c r="K133" s="51"/>
      <c r="L133" s="51"/>
      <c r="M133" s="53" t="s">
        <v>2</v>
      </c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28"/>
      <c r="C134" s="29"/>
      <c r="D134" s="29"/>
      <c r="E134" s="30"/>
      <c r="F134" s="31">
        <v>0.625</v>
      </c>
      <c r="G134" s="31">
        <v>0.75</v>
      </c>
      <c r="H134" s="36" t="s">
        <v>9</v>
      </c>
      <c r="I134" s="33">
        <v>0.125</v>
      </c>
      <c r="J134" s="34" t="s">
        <v>77</v>
      </c>
      <c r="K134" s="51"/>
      <c r="L134" s="51"/>
      <c r="M134" s="53" t="s">
        <v>2</v>
      </c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28"/>
      <c r="C135" s="29"/>
      <c r="D135" s="29"/>
      <c r="E135" s="30"/>
      <c r="F135" s="31">
        <v>0.75</v>
      </c>
      <c r="G135" s="31">
        <v>0.7708333333333334</v>
      </c>
      <c r="H135" s="32" t="s">
        <v>7</v>
      </c>
      <c r="I135" s="33">
        <v>0.020833333333333332</v>
      </c>
      <c r="J135" s="34" t="s">
        <v>8</v>
      </c>
      <c r="K135" s="51"/>
      <c r="L135" s="51"/>
      <c r="M135" s="53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28"/>
      <c r="C136" s="29"/>
      <c r="D136" s="29"/>
      <c r="E136" s="30"/>
      <c r="F136" s="31">
        <v>0.7708333333333334</v>
      </c>
      <c r="G136" s="31">
        <v>0.7916666666666666</v>
      </c>
      <c r="H136" s="40" t="s">
        <v>5</v>
      </c>
      <c r="I136" s="33">
        <v>0.020833333333333332</v>
      </c>
      <c r="J136" s="34" t="s">
        <v>74</v>
      </c>
      <c r="K136" s="51"/>
      <c r="L136" s="51"/>
      <c r="M136" s="53" t="s">
        <v>2</v>
      </c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54"/>
      <c r="C137" s="55"/>
      <c r="D137" s="55"/>
      <c r="E137" s="51"/>
      <c r="F137" s="55"/>
      <c r="G137" s="55"/>
      <c r="H137" s="52"/>
      <c r="I137" s="56"/>
      <c r="J137" s="51"/>
      <c r="K137" s="51"/>
      <c r="L137" s="51"/>
      <c r="M137" s="52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54"/>
      <c r="C138" s="55"/>
      <c r="D138" s="55"/>
      <c r="E138" s="51"/>
      <c r="F138" s="55"/>
      <c r="G138" s="55"/>
      <c r="H138" s="52"/>
      <c r="I138" s="56"/>
      <c r="J138" s="51"/>
      <c r="K138" s="51"/>
      <c r="L138" s="51"/>
      <c r="M138" s="52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47" t="s">
        <v>78</v>
      </c>
      <c r="C139" s="31">
        <v>0.4166666666666667</v>
      </c>
      <c r="D139" s="31">
        <v>0.7708333333333334</v>
      </c>
      <c r="E139" s="34" t="s">
        <v>4</v>
      </c>
      <c r="F139" s="31">
        <v>0.4375</v>
      </c>
      <c r="G139" s="31">
        <v>0.4583333333333333</v>
      </c>
      <c r="H139" s="40" t="s">
        <v>5</v>
      </c>
      <c r="I139" s="33">
        <v>0.020833333333333332</v>
      </c>
      <c r="J139" s="34" t="s">
        <v>79</v>
      </c>
      <c r="K139" s="30"/>
      <c r="L139" s="30"/>
      <c r="M139" s="35" t="s">
        <v>2</v>
      </c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28"/>
      <c r="C140" s="29"/>
      <c r="D140" s="29"/>
      <c r="E140" s="30"/>
      <c r="F140" s="31"/>
      <c r="G140" s="31"/>
      <c r="H140" s="32"/>
      <c r="I140" s="33"/>
      <c r="J140" s="34"/>
      <c r="K140" s="30"/>
      <c r="L140" s="30"/>
      <c r="M140" s="34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28"/>
      <c r="C141" s="29"/>
      <c r="D141" s="29"/>
      <c r="E141" s="30"/>
      <c r="F141" s="31"/>
      <c r="G141" s="31"/>
      <c r="H141" s="40"/>
      <c r="I141" s="33"/>
      <c r="J141" s="34"/>
      <c r="K141" s="51"/>
      <c r="L141" s="51"/>
      <c r="M141" s="53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28"/>
      <c r="C142" s="29"/>
      <c r="D142" s="29"/>
      <c r="E142" s="30"/>
      <c r="F142" s="31"/>
      <c r="G142" s="31"/>
      <c r="H142" s="36"/>
      <c r="I142" s="33"/>
      <c r="J142" s="34"/>
      <c r="K142" s="51"/>
      <c r="L142" s="51"/>
      <c r="M142" s="53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28"/>
      <c r="C143" s="29"/>
      <c r="D143" s="29"/>
      <c r="E143" s="30"/>
      <c r="F143" s="31"/>
      <c r="G143" s="31"/>
      <c r="H143" s="32"/>
      <c r="I143" s="33"/>
      <c r="J143" s="34"/>
      <c r="K143" s="51"/>
      <c r="L143" s="51"/>
      <c r="M143" s="53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28"/>
      <c r="C144" s="29"/>
      <c r="D144" s="29"/>
      <c r="E144" s="30"/>
      <c r="F144" s="31"/>
      <c r="G144" s="31"/>
      <c r="H144" s="40"/>
      <c r="I144" s="33"/>
      <c r="J144" s="34"/>
      <c r="K144" s="51"/>
      <c r="L144" s="51"/>
      <c r="M144" s="53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54"/>
      <c r="C145" s="55"/>
      <c r="D145" s="55"/>
      <c r="E145" s="51"/>
      <c r="F145" s="55"/>
      <c r="G145" s="55"/>
      <c r="H145" s="52"/>
      <c r="I145" s="56"/>
      <c r="J145" s="51"/>
      <c r="K145" s="51"/>
      <c r="L145" s="51"/>
      <c r="M145" s="52"/>
      <c r="N145" s="1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54"/>
      <c r="C146" s="55"/>
      <c r="D146" s="55"/>
      <c r="E146" s="51"/>
      <c r="F146" s="55"/>
      <c r="G146" s="55"/>
      <c r="H146" s="52"/>
      <c r="I146" s="56"/>
      <c r="J146" s="51"/>
      <c r="K146" s="51"/>
      <c r="L146" s="51"/>
      <c r="M146" s="52"/>
      <c r="N146" s="1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47" t="s">
        <v>80</v>
      </c>
      <c r="C147" s="31">
        <v>0.4166666666666667</v>
      </c>
      <c r="D147" s="31">
        <v>0.7708333333333334</v>
      </c>
      <c r="E147" s="34" t="s">
        <v>4</v>
      </c>
      <c r="F147" s="31">
        <v>0.4375</v>
      </c>
      <c r="G147" s="31">
        <v>0.4583333333333333</v>
      </c>
      <c r="H147" s="40" t="s">
        <v>5</v>
      </c>
      <c r="I147" s="33">
        <v>0.020833333333333332</v>
      </c>
      <c r="J147" s="34" t="s">
        <v>76</v>
      </c>
      <c r="K147" s="30"/>
      <c r="L147" s="30"/>
      <c r="M147" s="35" t="s">
        <v>2</v>
      </c>
      <c r="N147" s="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28"/>
      <c r="C148" s="29"/>
      <c r="D148" s="29"/>
      <c r="E148" s="30"/>
      <c r="F148" s="31">
        <v>0.4583333333333333</v>
      </c>
      <c r="G148" s="31">
        <v>0.4791666666666667</v>
      </c>
      <c r="H148" s="32" t="s">
        <v>7</v>
      </c>
      <c r="I148" s="33">
        <v>0.020833333333333332</v>
      </c>
      <c r="J148" s="34" t="s">
        <v>8</v>
      </c>
      <c r="K148" s="30"/>
      <c r="L148" s="30"/>
      <c r="M148" s="34"/>
      <c r="N148" s="1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28"/>
      <c r="C149" s="29"/>
      <c r="D149" s="29"/>
      <c r="E149" s="30"/>
      <c r="F149" s="31">
        <v>0.5</v>
      </c>
      <c r="G149" s="31">
        <v>0.5833333333333334</v>
      </c>
      <c r="H149" s="40" t="s">
        <v>5</v>
      </c>
      <c r="I149" s="33">
        <v>0.08333333333333333</v>
      </c>
      <c r="J149" s="34" t="s">
        <v>81</v>
      </c>
      <c r="K149" s="51"/>
      <c r="L149" s="51"/>
      <c r="M149" s="53" t="s">
        <v>2</v>
      </c>
      <c r="N149" s="1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28"/>
      <c r="C150" s="29"/>
      <c r="D150" s="29"/>
      <c r="E150" s="30"/>
      <c r="F150" s="31">
        <v>0.625</v>
      </c>
      <c r="G150" s="31">
        <v>0.75</v>
      </c>
      <c r="H150" s="36" t="s">
        <v>9</v>
      </c>
      <c r="I150" s="33">
        <v>0.125</v>
      </c>
      <c r="J150" s="34" t="s">
        <v>82</v>
      </c>
      <c r="K150" s="51"/>
      <c r="L150" s="51"/>
      <c r="M150" s="53" t="s">
        <v>2</v>
      </c>
      <c r="N150" s="1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28"/>
      <c r="C151" s="29"/>
      <c r="D151" s="29"/>
      <c r="E151" s="30"/>
      <c r="F151" s="31">
        <v>0.75</v>
      </c>
      <c r="G151" s="31">
        <v>0.7708333333333334</v>
      </c>
      <c r="H151" s="32" t="s">
        <v>7</v>
      </c>
      <c r="I151" s="33">
        <v>0.020833333333333332</v>
      </c>
      <c r="J151" s="34" t="s">
        <v>8</v>
      </c>
      <c r="K151" s="51"/>
      <c r="L151" s="51"/>
      <c r="M151" s="53"/>
      <c r="N151" s="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28"/>
      <c r="C152" s="29"/>
      <c r="D152" s="29"/>
      <c r="E152" s="30"/>
      <c r="F152" s="31">
        <v>0.7708333333333334</v>
      </c>
      <c r="G152" s="31">
        <v>0.7916666666666666</v>
      </c>
      <c r="H152" s="40" t="s">
        <v>5</v>
      </c>
      <c r="I152" s="33">
        <v>0.020833333333333332</v>
      </c>
      <c r="J152" s="34" t="s">
        <v>74</v>
      </c>
      <c r="K152" s="51"/>
      <c r="L152" s="51"/>
      <c r="M152" s="53" t="s">
        <v>2</v>
      </c>
      <c r="N152" s="1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54"/>
      <c r="C153" s="55"/>
      <c r="D153" s="55"/>
      <c r="E153" s="51"/>
      <c r="F153" s="55"/>
      <c r="G153" s="55"/>
      <c r="H153" s="52"/>
      <c r="I153" s="56"/>
      <c r="J153" s="51"/>
      <c r="K153" s="51"/>
      <c r="L153" s="51"/>
      <c r="M153" s="52"/>
      <c r="N153" s="1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54"/>
      <c r="C154" s="55"/>
      <c r="D154" s="55"/>
      <c r="E154" s="51"/>
      <c r="F154" s="55"/>
      <c r="G154" s="55"/>
      <c r="H154" s="52"/>
      <c r="I154" s="56"/>
      <c r="J154" s="51"/>
      <c r="K154" s="51"/>
      <c r="L154" s="51"/>
      <c r="M154" s="52"/>
      <c r="N154" s="1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47" t="s">
        <v>80</v>
      </c>
      <c r="C155" s="31">
        <v>0.4166666666666667</v>
      </c>
      <c r="D155" s="31">
        <v>0.7708333333333334</v>
      </c>
      <c r="E155" s="34" t="s">
        <v>4</v>
      </c>
      <c r="F155" s="31">
        <v>0.4375</v>
      </c>
      <c r="G155" s="31">
        <v>0.4583333333333333</v>
      </c>
      <c r="H155" s="40" t="s">
        <v>5</v>
      </c>
      <c r="I155" s="33">
        <v>0.020833333333333332</v>
      </c>
      <c r="J155" s="34" t="s">
        <v>83</v>
      </c>
      <c r="K155" s="30"/>
      <c r="L155" s="30"/>
      <c r="M155" s="35" t="s">
        <v>84</v>
      </c>
      <c r="N155" s="1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28"/>
      <c r="C156" s="29"/>
      <c r="D156" s="29"/>
      <c r="E156" s="30"/>
      <c r="F156" s="31">
        <v>0.4583333333333333</v>
      </c>
      <c r="G156" s="31">
        <v>0.4791666666666667</v>
      </c>
      <c r="H156" s="32" t="s">
        <v>7</v>
      </c>
      <c r="I156" s="33">
        <v>0.020833333333333332</v>
      </c>
      <c r="J156" s="34" t="s">
        <v>8</v>
      </c>
      <c r="K156" s="30"/>
      <c r="L156" s="30"/>
      <c r="M156" s="34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28"/>
      <c r="C157" s="29"/>
      <c r="D157" s="29"/>
      <c r="E157" s="30"/>
      <c r="F157" s="31">
        <v>0.5</v>
      </c>
      <c r="G157" s="31">
        <v>0.5833333333333334</v>
      </c>
      <c r="H157" s="40" t="s">
        <v>5</v>
      </c>
      <c r="I157" s="33">
        <v>0.08333333333333333</v>
      </c>
      <c r="J157" s="34" t="s">
        <v>85</v>
      </c>
      <c r="K157" s="51"/>
      <c r="L157" s="51"/>
      <c r="M157" s="53" t="s">
        <v>2</v>
      </c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28"/>
      <c r="C158" s="29"/>
      <c r="D158" s="29"/>
      <c r="E158" s="30"/>
      <c r="F158" s="31">
        <v>0.625</v>
      </c>
      <c r="G158" s="31">
        <v>0.75</v>
      </c>
      <c r="H158" s="36" t="s">
        <v>9</v>
      </c>
      <c r="I158" s="33">
        <v>0.125</v>
      </c>
      <c r="J158" s="34" t="s">
        <v>82</v>
      </c>
      <c r="K158" s="51"/>
      <c r="L158" s="51"/>
      <c r="M158" s="53" t="s">
        <v>2</v>
      </c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28"/>
      <c r="C159" s="29"/>
      <c r="D159" s="29"/>
      <c r="E159" s="30"/>
      <c r="F159" s="31">
        <v>0.75</v>
      </c>
      <c r="G159" s="31">
        <v>0.7708333333333334</v>
      </c>
      <c r="H159" s="32" t="s">
        <v>7</v>
      </c>
      <c r="I159" s="33">
        <v>0.020833333333333332</v>
      </c>
      <c r="J159" s="34" t="s">
        <v>8</v>
      </c>
      <c r="K159" s="51"/>
      <c r="L159" s="51"/>
      <c r="M159" s="53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28"/>
      <c r="C160" s="29"/>
      <c r="D160" s="29"/>
      <c r="E160" s="30"/>
      <c r="F160" s="31">
        <v>0.7708333333333334</v>
      </c>
      <c r="G160" s="31">
        <v>0.7916666666666666</v>
      </c>
      <c r="H160" s="40" t="s">
        <v>5</v>
      </c>
      <c r="I160" s="33">
        <v>0.020833333333333332</v>
      </c>
      <c r="J160" s="34" t="s">
        <v>74</v>
      </c>
      <c r="K160" s="51"/>
      <c r="L160" s="51"/>
      <c r="M160" s="53" t="s">
        <v>2</v>
      </c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54"/>
      <c r="C161" s="55"/>
      <c r="D161" s="55"/>
      <c r="E161" s="51"/>
      <c r="F161" s="55"/>
      <c r="G161" s="55"/>
      <c r="H161" s="52"/>
      <c r="I161" s="56"/>
      <c r="J161" s="51"/>
      <c r="K161" s="51"/>
      <c r="L161" s="51"/>
      <c r="M161" s="52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54"/>
      <c r="C162" s="55"/>
      <c r="D162" s="55"/>
      <c r="E162" s="51"/>
      <c r="F162" s="55"/>
      <c r="G162" s="55"/>
      <c r="H162" s="52"/>
      <c r="I162" s="56"/>
      <c r="J162" s="51"/>
      <c r="K162" s="51"/>
      <c r="L162" s="51"/>
      <c r="M162" s="52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54"/>
      <c r="C163" s="55"/>
      <c r="D163" s="55"/>
      <c r="E163" s="51"/>
      <c r="F163" s="55"/>
      <c r="G163" s="55"/>
      <c r="H163" s="52"/>
      <c r="I163" s="56"/>
      <c r="J163" s="51"/>
      <c r="K163" s="51"/>
      <c r="L163" s="51"/>
      <c r="M163" s="52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47" t="s">
        <v>86</v>
      </c>
      <c r="C164" s="31">
        <v>0.4166666666666667</v>
      </c>
      <c r="D164" s="31">
        <v>0.7708333333333334</v>
      </c>
      <c r="E164" s="34" t="s">
        <v>4</v>
      </c>
      <c r="F164" s="31">
        <v>0.4375</v>
      </c>
      <c r="G164" s="31">
        <v>0.4583333333333333</v>
      </c>
      <c r="H164" s="40" t="s">
        <v>5</v>
      </c>
      <c r="I164" s="33">
        <v>0.020833333333333332</v>
      </c>
      <c r="J164" s="34" t="s">
        <v>87</v>
      </c>
      <c r="K164" s="30"/>
      <c r="L164" s="30"/>
      <c r="M164" s="35" t="s">
        <v>2</v>
      </c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28"/>
      <c r="C165" s="29"/>
      <c r="D165" s="29"/>
      <c r="E165" s="30"/>
      <c r="F165" s="31">
        <v>0.4583333333333333</v>
      </c>
      <c r="G165" s="31">
        <v>0.4791666666666667</v>
      </c>
      <c r="H165" s="32" t="s">
        <v>7</v>
      </c>
      <c r="I165" s="33">
        <v>0.020833333333333332</v>
      </c>
      <c r="J165" s="34" t="s">
        <v>8</v>
      </c>
      <c r="K165" s="30"/>
      <c r="L165" s="30"/>
      <c r="M165" s="34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28"/>
      <c r="C166" s="29"/>
      <c r="D166" s="29"/>
      <c r="E166" s="30"/>
      <c r="F166" s="31">
        <v>0.5</v>
      </c>
      <c r="G166" s="31">
        <v>0.5833333333333334</v>
      </c>
      <c r="H166" s="40" t="s">
        <v>5</v>
      </c>
      <c r="I166" s="33">
        <v>0.08333333333333333</v>
      </c>
      <c r="J166" s="34" t="s">
        <v>88</v>
      </c>
      <c r="K166" s="51"/>
      <c r="L166" s="51"/>
      <c r="M166" s="53" t="s">
        <v>2</v>
      </c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28"/>
      <c r="C167" s="29"/>
      <c r="D167" s="29"/>
      <c r="E167" s="30"/>
      <c r="F167" s="31">
        <v>0.625</v>
      </c>
      <c r="G167" s="31">
        <v>0.75</v>
      </c>
      <c r="H167" s="36" t="s">
        <v>9</v>
      </c>
      <c r="I167" s="33">
        <v>0.125</v>
      </c>
      <c r="J167" s="34" t="s">
        <v>82</v>
      </c>
      <c r="K167" s="51"/>
      <c r="L167" s="51"/>
      <c r="M167" s="53" t="s">
        <v>2</v>
      </c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28"/>
      <c r="C168" s="29"/>
      <c r="D168" s="29"/>
      <c r="E168" s="30"/>
      <c r="F168" s="31">
        <v>0.75</v>
      </c>
      <c r="G168" s="31">
        <v>0.7708333333333334</v>
      </c>
      <c r="H168" s="32" t="s">
        <v>7</v>
      </c>
      <c r="I168" s="33">
        <v>0.020833333333333332</v>
      </c>
      <c r="J168" s="34" t="s">
        <v>8</v>
      </c>
      <c r="K168" s="51"/>
      <c r="L168" s="51"/>
      <c r="M168" s="53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28"/>
      <c r="C169" s="29"/>
      <c r="D169" s="29"/>
      <c r="E169" s="30"/>
      <c r="F169" s="31">
        <v>0.7708333333333334</v>
      </c>
      <c r="G169" s="31">
        <v>0.7916666666666666</v>
      </c>
      <c r="H169" s="40" t="s">
        <v>5</v>
      </c>
      <c r="I169" s="33">
        <v>0.020833333333333332</v>
      </c>
      <c r="J169" s="34" t="s">
        <v>74</v>
      </c>
      <c r="K169" s="51"/>
      <c r="L169" s="51"/>
      <c r="M169" s="53" t="s">
        <v>2</v>
      </c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54"/>
      <c r="C170" s="55"/>
      <c r="D170" s="55"/>
      <c r="E170" s="51"/>
      <c r="F170" s="55"/>
      <c r="G170" s="55"/>
      <c r="H170" s="52"/>
      <c r="I170" s="56"/>
      <c r="J170" s="51"/>
      <c r="K170" s="51"/>
      <c r="L170" s="51"/>
      <c r="M170" s="52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54"/>
      <c r="C171" s="55"/>
      <c r="D171" s="55"/>
      <c r="E171" s="51"/>
      <c r="F171" s="55"/>
      <c r="G171" s="55"/>
      <c r="H171" s="52"/>
      <c r="I171" s="56"/>
      <c r="J171" s="51"/>
      <c r="K171" s="51"/>
      <c r="L171" s="51"/>
      <c r="M171" s="52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47" t="s">
        <v>89</v>
      </c>
      <c r="C172" s="31">
        <v>0.4166666666666667</v>
      </c>
      <c r="D172" s="31">
        <v>0.7708333333333334</v>
      </c>
      <c r="E172" s="34" t="s">
        <v>4</v>
      </c>
      <c r="F172" s="31">
        <v>0.4375</v>
      </c>
      <c r="G172" s="31">
        <v>0.4583333333333333</v>
      </c>
      <c r="H172" s="40" t="s">
        <v>5</v>
      </c>
      <c r="I172" s="33">
        <v>0.020833333333333332</v>
      </c>
      <c r="J172" s="34" t="s">
        <v>90</v>
      </c>
      <c r="K172" s="30"/>
      <c r="L172" s="30"/>
      <c r="M172" s="35" t="s">
        <v>2</v>
      </c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28"/>
      <c r="C173" s="29"/>
      <c r="D173" s="29"/>
      <c r="E173" s="30"/>
      <c r="F173" s="31">
        <v>0.4583333333333333</v>
      </c>
      <c r="G173" s="31">
        <v>0.4791666666666667</v>
      </c>
      <c r="H173" s="32" t="s">
        <v>7</v>
      </c>
      <c r="I173" s="33">
        <v>0.020833333333333332</v>
      </c>
      <c r="J173" s="34" t="s">
        <v>8</v>
      </c>
      <c r="K173" s="30"/>
      <c r="L173" s="30"/>
      <c r="M173" s="34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28"/>
      <c r="C174" s="29"/>
      <c r="D174" s="29"/>
      <c r="E174" s="30"/>
      <c r="F174" s="31">
        <v>0.5</v>
      </c>
      <c r="G174" s="31">
        <v>0.5833333333333334</v>
      </c>
      <c r="H174" s="40" t="s">
        <v>5</v>
      </c>
      <c r="I174" s="33">
        <v>0.08333333333333333</v>
      </c>
      <c r="J174" s="34" t="s">
        <v>91</v>
      </c>
      <c r="K174" s="51"/>
      <c r="L174" s="51"/>
      <c r="M174" s="53" t="s">
        <v>2</v>
      </c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28"/>
      <c r="C175" s="29"/>
      <c r="D175" s="29"/>
      <c r="E175" s="30"/>
      <c r="F175" s="31">
        <v>0.625</v>
      </c>
      <c r="G175" s="31">
        <v>0.75</v>
      </c>
      <c r="H175" s="36" t="s">
        <v>9</v>
      </c>
      <c r="I175" s="33">
        <v>0.125</v>
      </c>
      <c r="J175" s="34" t="s">
        <v>92</v>
      </c>
      <c r="K175" s="51"/>
      <c r="L175" s="51"/>
      <c r="M175" s="53" t="s">
        <v>2</v>
      </c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28"/>
      <c r="C176" s="29"/>
      <c r="D176" s="29"/>
      <c r="E176" s="30"/>
      <c r="F176" s="31">
        <v>0.75</v>
      </c>
      <c r="G176" s="31">
        <v>0.7708333333333334</v>
      </c>
      <c r="H176" s="32" t="s">
        <v>7</v>
      </c>
      <c r="I176" s="33">
        <v>0.020833333333333332</v>
      </c>
      <c r="J176" s="34" t="s">
        <v>8</v>
      </c>
      <c r="K176" s="51"/>
      <c r="L176" s="51"/>
      <c r="M176" s="53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28"/>
      <c r="C177" s="29"/>
      <c r="D177" s="29"/>
      <c r="E177" s="30"/>
      <c r="F177" s="31">
        <v>0.7708333333333334</v>
      </c>
      <c r="G177" s="31">
        <v>0.7916666666666666</v>
      </c>
      <c r="H177" s="40" t="s">
        <v>5</v>
      </c>
      <c r="I177" s="33">
        <v>0.020833333333333332</v>
      </c>
      <c r="J177" s="34" t="s">
        <v>93</v>
      </c>
      <c r="K177" s="51"/>
      <c r="L177" s="51"/>
      <c r="M177" s="53" t="s">
        <v>2</v>
      </c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54"/>
      <c r="C178" s="55"/>
      <c r="D178" s="55"/>
      <c r="E178" s="51"/>
      <c r="F178" s="55"/>
      <c r="G178" s="55"/>
      <c r="H178" s="52"/>
      <c r="I178" s="56"/>
      <c r="J178" s="51"/>
      <c r="K178" s="51"/>
      <c r="L178" s="51"/>
      <c r="M178" s="52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54"/>
      <c r="C179" s="55"/>
      <c r="D179" s="55"/>
      <c r="E179" s="51"/>
      <c r="F179" s="55"/>
      <c r="G179" s="55"/>
      <c r="H179" s="52"/>
      <c r="I179" s="56"/>
      <c r="J179" s="51"/>
      <c r="K179" s="51"/>
      <c r="L179" s="51"/>
      <c r="M179" s="52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47" t="s">
        <v>94</v>
      </c>
      <c r="C180" s="31">
        <v>0.4166666666666667</v>
      </c>
      <c r="D180" s="31">
        <v>0.7708333333333334</v>
      </c>
      <c r="E180" s="34" t="s">
        <v>4</v>
      </c>
      <c r="F180" s="31">
        <v>0.4375</v>
      </c>
      <c r="G180" s="31">
        <v>0.4583333333333333</v>
      </c>
      <c r="H180" s="40" t="s">
        <v>5</v>
      </c>
      <c r="I180" s="33">
        <v>0.020833333333333332</v>
      </c>
      <c r="J180" s="34" t="s">
        <v>95</v>
      </c>
      <c r="K180" s="30"/>
      <c r="L180" s="30"/>
      <c r="M180" s="35" t="s">
        <v>2</v>
      </c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28"/>
      <c r="C181" s="29"/>
      <c r="D181" s="29"/>
      <c r="E181" s="30"/>
      <c r="F181" s="31">
        <v>0.4583333333333333</v>
      </c>
      <c r="G181" s="31">
        <v>0.4791666666666667</v>
      </c>
      <c r="H181" s="32" t="s">
        <v>7</v>
      </c>
      <c r="I181" s="33">
        <v>0.020833333333333332</v>
      </c>
      <c r="J181" s="34" t="s">
        <v>8</v>
      </c>
      <c r="K181" s="30"/>
      <c r="L181" s="30"/>
      <c r="M181" s="34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28"/>
      <c r="C182" s="29"/>
      <c r="D182" s="29"/>
      <c r="E182" s="30"/>
      <c r="F182" s="31">
        <v>0.5</v>
      </c>
      <c r="G182" s="31">
        <v>0.5833333333333334</v>
      </c>
      <c r="H182" s="40" t="s">
        <v>5</v>
      </c>
      <c r="I182" s="33">
        <v>0.08333333333333333</v>
      </c>
      <c r="J182" s="34" t="s">
        <v>96</v>
      </c>
      <c r="K182" s="51"/>
      <c r="L182" s="51"/>
      <c r="M182" s="53" t="s">
        <v>2</v>
      </c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28"/>
      <c r="C183" s="29"/>
      <c r="D183" s="29"/>
      <c r="E183" s="30"/>
      <c r="F183" s="31">
        <v>0.625</v>
      </c>
      <c r="G183" s="31">
        <v>0.75</v>
      </c>
      <c r="H183" s="36" t="s">
        <v>9</v>
      </c>
      <c r="I183" s="33">
        <v>0.125</v>
      </c>
      <c r="J183" s="34" t="s">
        <v>97</v>
      </c>
      <c r="K183" s="51"/>
      <c r="L183" s="51"/>
      <c r="M183" s="53" t="s">
        <v>2</v>
      </c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28"/>
      <c r="C184" s="29"/>
      <c r="D184" s="29"/>
      <c r="E184" s="30"/>
      <c r="F184" s="31">
        <v>0.75</v>
      </c>
      <c r="G184" s="31">
        <v>0.7708333333333334</v>
      </c>
      <c r="H184" s="32" t="s">
        <v>7</v>
      </c>
      <c r="I184" s="33">
        <v>0.020833333333333332</v>
      </c>
      <c r="J184" s="34" t="s">
        <v>8</v>
      </c>
      <c r="K184" s="51"/>
      <c r="L184" s="51"/>
      <c r="M184" s="53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28"/>
      <c r="C185" s="29"/>
      <c r="D185" s="29"/>
      <c r="E185" s="30"/>
      <c r="F185" s="31">
        <v>0.7708333333333334</v>
      </c>
      <c r="G185" s="31">
        <v>0.7916666666666666</v>
      </c>
      <c r="H185" s="40" t="s">
        <v>5</v>
      </c>
      <c r="I185" s="33">
        <v>0.020833333333333332</v>
      </c>
      <c r="J185" s="34" t="s">
        <v>74</v>
      </c>
      <c r="K185" s="51"/>
      <c r="L185" s="51"/>
      <c r="M185" s="53" t="s">
        <v>2</v>
      </c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54"/>
      <c r="C186" s="55"/>
      <c r="D186" s="55"/>
      <c r="E186" s="51"/>
      <c r="F186" s="55"/>
      <c r="G186" s="55"/>
      <c r="H186" s="52"/>
      <c r="I186" s="56"/>
      <c r="J186" s="51"/>
      <c r="K186" s="51"/>
      <c r="L186" s="51"/>
      <c r="M186" s="52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54"/>
      <c r="C187" s="55"/>
      <c r="D187" s="55"/>
      <c r="E187" s="51"/>
      <c r="F187" s="55"/>
      <c r="G187" s="55"/>
      <c r="H187" s="52"/>
      <c r="I187" s="56"/>
      <c r="J187" s="51"/>
      <c r="K187" s="51"/>
      <c r="L187" s="51"/>
      <c r="M187" s="52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54"/>
      <c r="C188" s="55"/>
      <c r="D188" s="55"/>
      <c r="E188" s="51"/>
      <c r="F188" s="55"/>
      <c r="G188" s="55"/>
      <c r="H188" s="52"/>
      <c r="I188" s="56"/>
      <c r="J188" s="51"/>
      <c r="K188" s="51"/>
      <c r="L188" s="51"/>
      <c r="M188" s="52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47" t="s">
        <v>98</v>
      </c>
      <c r="C189" s="31">
        <v>0.4166666666666667</v>
      </c>
      <c r="D189" s="31">
        <v>0.7708333333333334</v>
      </c>
      <c r="E189" s="34" t="s">
        <v>4</v>
      </c>
      <c r="F189" s="31">
        <v>0.4375</v>
      </c>
      <c r="G189" s="31">
        <v>0.4583333333333333</v>
      </c>
      <c r="H189" s="40" t="s">
        <v>5</v>
      </c>
      <c r="I189" s="33">
        <v>0.020833333333333332</v>
      </c>
      <c r="J189" s="34" t="s">
        <v>99</v>
      </c>
      <c r="K189" s="30"/>
      <c r="L189" s="30"/>
      <c r="M189" s="35" t="s">
        <v>2</v>
      </c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28"/>
      <c r="C190" s="29"/>
      <c r="D190" s="29"/>
      <c r="E190" s="30"/>
      <c r="F190" s="31">
        <v>0.4583333333333333</v>
      </c>
      <c r="G190" s="31">
        <v>0.4791666666666667</v>
      </c>
      <c r="H190" s="32" t="s">
        <v>7</v>
      </c>
      <c r="I190" s="33">
        <v>0.020833333333333332</v>
      </c>
      <c r="J190" s="34" t="s">
        <v>8</v>
      </c>
      <c r="K190" s="30"/>
      <c r="L190" s="30"/>
      <c r="M190" s="34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28"/>
      <c r="C191" s="29"/>
      <c r="D191" s="29"/>
      <c r="E191" s="30"/>
      <c r="F191" s="31">
        <v>0.5</v>
      </c>
      <c r="G191" s="31">
        <v>0.5833333333333334</v>
      </c>
      <c r="H191" s="40" t="s">
        <v>5</v>
      </c>
      <c r="I191" s="33">
        <v>0.08333333333333333</v>
      </c>
      <c r="J191" s="34" t="s">
        <v>100</v>
      </c>
      <c r="K191" s="51"/>
      <c r="L191" s="51"/>
      <c r="M191" s="53" t="s">
        <v>2</v>
      </c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28"/>
      <c r="C192" s="29"/>
      <c r="D192" s="29"/>
      <c r="E192" s="30"/>
      <c r="F192" s="31">
        <v>0.625</v>
      </c>
      <c r="G192" s="31">
        <v>0.75</v>
      </c>
      <c r="H192" s="36" t="s">
        <v>9</v>
      </c>
      <c r="I192" s="33">
        <v>0.125</v>
      </c>
      <c r="J192" s="34" t="s">
        <v>101</v>
      </c>
      <c r="K192" s="51"/>
      <c r="L192" s="51"/>
      <c r="M192" s="53" t="s">
        <v>2</v>
      </c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28"/>
      <c r="C193" s="29"/>
      <c r="D193" s="29"/>
      <c r="E193" s="30"/>
      <c r="F193" s="31">
        <v>0.75</v>
      </c>
      <c r="G193" s="31">
        <v>0.7708333333333334</v>
      </c>
      <c r="H193" s="32" t="s">
        <v>7</v>
      </c>
      <c r="I193" s="33">
        <v>0.020833333333333332</v>
      </c>
      <c r="J193" s="34" t="s">
        <v>8</v>
      </c>
      <c r="K193" s="51"/>
      <c r="L193" s="51"/>
      <c r="M193" s="53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28"/>
      <c r="C194" s="29"/>
      <c r="D194" s="29"/>
      <c r="E194" s="30"/>
      <c r="F194" s="31">
        <v>0.7708333333333334</v>
      </c>
      <c r="G194" s="31">
        <v>0.7916666666666666</v>
      </c>
      <c r="H194" s="40" t="s">
        <v>5</v>
      </c>
      <c r="I194" s="33">
        <v>0.020833333333333332</v>
      </c>
      <c r="J194" s="34" t="s">
        <v>74</v>
      </c>
      <c r="K194" s="51"/>
      <c r="L194" s="51"/>
      <c r="M194" s="53" t="s">
        <v>2</v>
      </c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">
    <mergeCell ref="B3:B5"/>
    <mergeCell ref="C3:E3"/>
  </mergeCells>
  <dataValidations>
    <dataValidation type="list" allowBlank="1" showErrorMessage="1" sqref="M9:M92 M94:M106 M108:M115 M117:M119 M121 M123:M124 M126:M129 M131 M133:M134 M136:M139 M141:M142 M144:M147 M149:M150 M152:M155 M157:M158 M160:M164 M166:M167 M169:M172 M174:M175 M177:M180 M182:M183 M185:M189 M191:M192 M194">
      <formula1>"Completed,In-Progress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75"/>
    <col customWidth="1" min="10" max="10" width="39.63"/>
    <col customWidth="1" min="12" max="12" width="37.63"/>
  </cols>
  <sheetData>
    <row r="1">
      <c r="A1" s="1"/>
      <c r="B1" s="2"/>
      <c r="C1" s="2"/>
      <c r="D1" s="2"/>
      <c r="E1" s="2"/>
      <c r="F1" s="3" t="s">
        <v>0</v>
      </c>
      <c r="G1" s="1"/>
      <c r="H1" s="1"/>
      <c r="I1" s="1"/>
      <c r="J1" s="1"/>
      <c r="K1" s="1"/>
      <c r="L1" s="2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4"/>
      <c r="C2" s="5"/>
      <c r="D2" s="5"/>
      <c r="E2" s="5"/>
      <c r="F2" s="1"/>
      <c r="G2" s="1"/>
      <c r="H2" s="1"/>
      <c r="I2" s="1"/>
      <c r="J2" s="1"/>
      <c r="K2" s="1"/>
      <c r="L2" s="2"/>
      <c r="M2" s="2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6">
        <f>TODAY()</f>
        <v>46221</v>
      </c>
      <c r="C3" s="7" t="s">
        <v>1</v>
      </c>
      <c r="D3" s="8"/>
      <c r="E3" s="9"/>
      <c r="F3" s="1"/>
      <c r="G3" s="1"/>
      <c r="H3" s="1"/>
      <c r="I3" s="1"/>
      <c r="J3" s="1"/>
      <c r="K3" s="1"/>
      <c r="L3" s="2"/>
      <c r="M3" s="2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10"/>
      <c r="C4" s="11" t="s">
        <v>2</v>
      </c>
      <c r="D4" s="12" t="str">
        <f>IFERROR(__xludf.DUMMYFUNCTION("IF(E4=0,"""", SPARKLINE (E4, {""charttype"",""bar"";""color1"",""bf9000"";""max"",SUM($E$4:$E$5)}))"),"")</f>
        <v/>
      </c>
      <c r="E4" s="13">
        <f>countif($M$9:$M1000,C4)</f>
        <v>47</v>
      </c>
      <c r="F4" s="1"/>
      <c r="G4" s="1"/>
      <c r="H4" s="1"/>
      <c r="I4" s="1"/>
      <c r="J4" s="1"/>
      <c r="K4" s="1"/>
      <c r="L4" s="2"/>
      <c r="M4" s="2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14"/>
      <c r="C5" s="11" t="s">
        <v>3</v>
      </c>
      <c r="D5" s="12" t="str">
        <f>IFERROR(__xludf.DUMMYFUNCTION("IF(E5=0,"""", SPARKLINE (E5, {""charttype"",""bar"";""color1"",""bf9000"";""max"",SUM($E$4:$E$5)}))"),"")</f>
        <v/>
      </c>
      <c r="E5" s="13">
        <f>COUNTIF(M:M,"*Progress*")</f>
        <v>0</v>
      </c>
      <c r="F5" s="1"/>
      <c r="G5" s="1"/>
      <c r="H5" s="1"/>
      <c r="I5" s="1"/>
      <c r="J5" s="1"/>
      <c r="K5" s="1"/>
      <c r="L5" s="2"/>
      <c r="M5" s="2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/>
      <c r="B6" s="4"/>
      <c r="C6" s="4"/>
      <c r="D6" s="4"/>
      <c r="E6" s="4"/>
      <c r="F6" s="15"/>
      <c r="G6" s="15"/>
      <c r="H6" s="15"/>
      <c r="I6" s="15"/>
      <c r="J6" s="15"/>
      <c r="K6" s="15"/>
      <c r="L6" s="4"/>
      <c r="M6" s="4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8"/>
      <c r="B7" s="59" t="s">
        <v>102</v>
      </c>
      <c r="C7" s="59" t="s">
        <v>103</v>
      </c>
      <c r="D7" s="59" t="s">
        <v>104</v>
      </c>
      <c r="E7" s="59" t="s">
        <v>105</v>
      </c>
      <c r="F7" s="60" t="s">
        <v>106</v>
      </c>
      <c r="G7" s="60" t="s">
        <v>107</v>
      </c>
      <c r="H7" s="59" t="s">
        <v>0</v>
      </c>
      <c r="I7" s="59" t="s">
        <v>108</v>
      </c>
      <c r="J7" s="59" t="s">
        <v>109</v>
      </c>
      <c r="K7" s="59" t="s">
        <v>110</v>
      </c>
      <c r="L7" s="60" t="s">
        <v>111</v>
      </c>
      <c r="M7" s="59" t="s">
        <v>112</v>
      </c>
      <c r="N7" s="61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1"/>
      <c r="B8" s="21">
        <v>46028.0</v>
      </c>
      <c r="C8" s="22">
        <v>0.4166666666666667</v>
      </c>
      <c r="D8" s="22">
        <v>0.7708333333333334</v>
      </c>
      <c r="E8" s="23" t="s">
        <v>4</v>
      </c>
      <c r="F8" s="22">
        <v>0.4166666666666667</v>
      </c>
      <c r="G8" s="22">
        <v>0.4583333333333333</v>
      </c>
      <c r="H8" s="24" t="s">
        <v>5</v>
      </c>
      <c r="I8" s="25">
        <v>0.041666666666666664</v>
      </c>
      <c r="J8" s="23" t="s">
        <v>6</v>
      </c>
      <c r="K8" s="26"/>
      <c r="L8" s="26"/>
      <c r="M8" s="27" t="s">
        <v>2</v>
      </c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28"/>
      <c r="C9" s="29"/>
      <c r="D9" s="29"/>
      <c r="E9" s="30"/>
      <c r="F9" s="31">
        <v>0.4583333333333333</v>
      </c>
      <c r="G9" s="31">
        <v>0.4791666666666667</v>
      </c>
      <c r="H9" s="32" t="s">
        <v>7</v>
      </c>
      <c r="I9" s="33">
        <v>0.020833333333333332</v>
      </c>
      <c r="J9" s="34" t="s">
        <v>8</v>
      </c>
      <c r="K9" s="30"/>
      <c r="L9" s="30"/>
      <c r="M9" s="35" t="s">
        <v>2</v>
      </c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28"/>
      <c r="C10" s="29"/>
      <c r="D10" s="29"/>
      <c r="E10" s="30"/>
      <c r="F10" s="31">
        <v>0.4791666666666667</v>
      </c>
      <c r="G10" s="31">
        <v>0.5416666666666666</v>
      </c>
      <c r="H10" s="36" t="s">
        <v>9</v>
      </c>
      <c r="I10" s="33">
        <v>0.0625</v>
      </c>
      <c r="J10" s="34" t="s">
        <v>10</v>
      </c>
      <c r="K10" s="37"/>
      <c r="L10" s="30"/>
      <c r="M10" s="35" t="s">
        <v>2</v>
      </c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38"/>
      <c r="C11" s="29"/>
      <c r="D11" s="29"/>
      <c r="E11" s="30"/>
      <c r="F11" s="31">
        <v>0.5833333333333334</v>
      </c>
      <c r="G11" s="31">
        <v>0.7708333333333334</v>
      </c>
      <c r="H11" s="32" t="s">
        <v>7</v>
      </c>
      <c r="I11" s="33">
        <v>0.1875</v>
      </c>
      <c r="J11" s="34" t="s">
        <v>11</v>
      </c>
      <c r="K11" s="37"/>
      <c r="L11" s="30"/>
      <c r="M11" s="35" t="s">
        <v>2</v>
      </c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28"/>
      <c r="C12" s="29"/>
      <c r="D12" s="29"/>
      <c r="E12" s="30"/>
      <c r="F12" s="29"/>
      <c r="G12" s="29"/>
      <c r="H12" s="29"/>
      <c r="I12" s="33">
        <v>0.0</v>
      </c>
      <c r="J12" s="30"/>
      <c r="K12" s="37"/>
      <c r="L12" s="30"/>
      <c r="M12" s="29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39">
        <v>46059.0</v>
      </c>
      <c r="C13" s="31">
        <v>0.4166666666666667</v>
      </c>
      <c r="D13" s="31">
        <v>0.7708333333333334</v>
      </c>
      <c r="E13" s="34" t="s">
        <v>4</v>
      </c>
      <c r="F13" s="31">
        <v>0.4166666666666667</v>
      </c>
      <c r="G13" s="31">
        <v>0.4583333333333333</v>
      </c>
      <c r="H13" s="40" t="s">
        <v>5</v>
      </c>
      <c r="I13" s="33">
        <v>0.041666666666666664</v>
      </c>
      <c r="J13" s="34" t="s">
        <v>12</v>
      </c>
      <c r="K13" s="30"/>
      <c r="L13" s="30"/>
      <c r="M13" s="35" t="s">
        <v>2</v>
      </c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8"/>
      <c r="C14" s="29"/>
      <c r="D14" s="29"/>
      <c r="E14" s="30"/>
      <c r="F14" s="31">
        <v>0.4583333333333333</v>
      </c>
      <c r="G14" s="31">
        <v>0.4791666666666667</v>
      </c>
      <c r="H14" s="32" t="s">
        <v>7</v>
      </c>
      <c r="I14" s="33">
        <v>0.020833333333333332</v>
      </c>
      <c r="J14" s="34" t="s">
        <v>8</v>
      </c>
      <c r="K14" s="30"/>
      <c r="L14" s="30"/>
      <c r="M14" s="35" t="s">
        <v>2</v>
      </c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28"/>
      <c r="C15" s="29"/>
      <c r="D15" s="29"/>
      <c r="E15" s="30"/>
      <c r="F15" s="31">
        <v>0.4791666666666667</v>
      </c>
      <c r="G15" s="31">
        <v>0.5416666666666666</v>
      </c>
      <c r="H15" s="36" t="s">
        <v>9</v>
      </c>
      <c r="I15" s="33">
        <v>0.0625</v>
      </c>
      <c r="J15" s="34" t="s">
        <v>13</v>
      </c>
      <c r="K15" s="37"/>
      <c r="L15" s="30"/>
      <c r="M15" s="41" t="s">
        <v>2</v>
      </c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/>
      <c r="B16" s="28"/>
      <c r="C16" s="29"/>
      <c r="D16" s="29"/>
      <c r="E16" s="30"/>
      <c r="F16" s="31">
        <v>0.5833333333333334</v>
      </c>
      <c r="G16" s="31">
        <v>0.75</v>
      </c>
      <c r="H16" s="40" t="s">
        <v>5</v>
      </c>
      <c r="I16" s="33">
        <v>0.16666666666666666</v>
      </c>
      <c r="J16" s="34" t="s">
        <v>14</v>
      </c>
      <c r="K16" s="30"/>
      <c r="L16" s="30"/>
      <c r="M16" s="41" t="s">
        <v>2</v>
      </c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28"/>
      <c r="C17" s="29"/>
      <c r="D17" s="29"/>
      <c r="E17" s="30"/>
      <c r="F17" s="31">
        <v>0.75</v>
      </c>
      <c r="G17" s="31">
        <v>0.7708333333333334</v>
      </c>
      <c r="H17" s="32" t="s">
        <v>7</v>
      </c>
      <c r="I17" s="33">
        <v>0.020833333333333332</v>
      </c>
      <c r="J17" s="34" t="s">
        <v>8</v>
      </c>
      <c r="K17" s="30"/>
      <c r="L17" s="30"/>
      <c r="M17" s="35" t="s">
        <v>2</v>
      </c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28"/>
      <c r="C18" s="29"/>
      <c r="D18" s="29"/>
      <c r="E18" s="30"/>
      <c r="F18" s="29"/>
      <c r="G18" s="29"/>
      <c r="H18" s="29"/>
      <c r="I18" s="33">
        <v>0.0</v>
      </c>
      <c r="J18" s="30"/>
      <c r="K18" s="37"/>
      <c r="L18" s="30"/>
      <c r="M18" s="29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/>
      <c r="B19" s="39">
        <v>46087.0</v>
      </c>
      <c r="C19" s="31">
        <v>0.4166666666666667</v>
      </c>
      <c r="D19" s="31">
        <v>0.7708333333333334</v>
      </c>
      <c r="E19" s="34" t="s">
        <v>4</v>
      </c>
      <c r="F19" s="31">
        <v>0.4166666666666667</v>
      </c>
      <c r="G19" s="31">
        <v>0.4583333333333333</v>
      </c>
      <c r="H19" s="40" t="s">
        <v>5</v>
      </c>
      <c r="I19" s="33">
        <v>0.041666666666666664</v>
      </c>
      <c r="J19" s="34" t="s">
        <v>4</v>
      </c>
      <c r="K19" s="30"/>
      <c r="L19" s="30"/>
      <c r="M19" s="35" t="s">
        <v>2</v>
      </c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8"/>
      <c r="C20" s="29"/>
      <c r="D20" s="29"/>
      <c r="E20" s="30"/>
      <c r="F20" s="31">
        <v>0.4583333333333333</v>
      </c>
      <c r="G20" s="31">
        <v>0.4791666666666667</v>
      </c>
      <c r="H20" s="32" t="s">
        <v>7</v>
      </c>
      <c r="I20" s="33">
        <v>0.020833333333333332</v>
      </c>
      <c r="J20" s="34" t="s">
        <v>8</v>
      </c>
      <c r="K20" s="30"/>
      <c r="L20" s="30"/>
      <c r="M20" s="35" t="s">
        <v>2</v>
      </c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28"/>
      <c r="C21" s="29"/>
      <c r="D21" s="29"/>
      <c r="E21" s="30"/>
      <c r="F21" s="31">
        <v>0.4791666666666667</v>
      </c>
      <c r="G21" s="31">
        <v>0.5416666666666666</v>
      </c>
      <c r="H21" s="36" t="s">
        <v>9</v>
      </c>
      <c r="I21" s="33">
        <v>0.0625</v>
      </c>
      <c r="J21" s="34" t="s">
        <v>15</v>
      </c>
      <c r="K21" s="30"/>
      <c r="L21" s="30"/>
      <c r="M21" s="41" t="s">
        <v>2</v>
      </c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28"/>
      <c r="C22" s="29"/>
      <c r="D22" s="29"/>
      <c r="E22" s="30"/>
      <c r="F22" s="31">
        <v>0.5833333333333334</v>
      </c>
      <c r="G22" s="31">
        <v>0.7708333333333334</v>
      </c>
      <c r="H22" s="40" t="s">
        <v>5</v>
      </c>
      <c r="I22" s="33">
        <v>0.1875</v>
      </c>
      <c r="J22" s="34" t="s">
        <v>16</v>
      </c>
      <c r="K22" s="37"/>
      <c r="L22" s="30"/>
      <c r="M22" s="41" t="s">
        <v>2</v>
      </c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28"/>
      <c r="C23" s="29"/>
      <c r="D23" s="29"/>
      <c r="E23" s="30"/>
      <c r="F23" s="29"/>
      <c r="G23" s="29"/>
      <c r="H23" s="29"/>
      <c r="I23" s="33">
        <v>0.0</v>
      </c>
      <c r="J23" s="30"/>
      <c r="K23" s="30"/>
      <c r="L23" s="30"/>
      <c r="M23" s="29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s="42">
        <v>46207.0</v>
      </c>
      <c r="C24" s="43"/>
      <c r="D24" s="43"/>
      <c r="E24" s="44"/>
      <c r="F24" s="43"/>
      <c r="G24" s="43"/>
      <c r="H24" s="43"/>
      <c r="I24" s="45">
        <v>0.0</v>
      </c>
      <c r="J24" s="46" t="s">
        <v>24</v>
      </c>
      <c r="K24" s="44"/>
      <c r="L24" s="44"/>
      <c r="M24" s="43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28"/>
      <c r="C25" s="29"/>
      <c r="D25" s="29"/>
      <c r="E25" s="30"/>
      <c r="F25" s="28"/>
      <c r="G25" s="29"/>
      <c r="H25" s="29"/>
      <c r="I25" s="30"/>
      <c r="J25" s="28"/>
      <c r="K25" s="29"/>
      <c r="L25" s="29"/>
      <c r="M25" s="30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28"/>
      <c r="C26" s="29"/>
      <c r="D26" s="29"/>
      <c r="E26" s="30"/>
      <c r="F26" s="28"/>
      <c r="G26" s="29"/>
      <c r="H26" s="29"/>
      <c r="I26" s="30"/>
      <c r="J26" s="28"/>
      <c r="K26" s="29"/>
      <c r="L26" s="29"/>
      <c r="M26" s="30"/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/>
      <c r="B27" s="28"/>
      <c r="C27" s="29"/>
      <c r="D27" s="29"/>
      <c r="E27" s="30"/>
      <c r="F27" s="29"/>
      <c r="G27" s="29"/>
      <c r="H27" s="29"/>
      <c r="I27" s="33">
        <v>0.0</v>
      </c>
      <c r="J27" s="30"/>
      <c r="K27" s="37"/>
      <c r="L27" s="30"/>
      <c r="M27" s="29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s="39">
        <v>46148.0</v>
      </c>
      <c r="C28" s="31">
        <v>0.4166666666666667</v>
      </c>
      <c r="D28" s="31">
        <v>0.7916666666666666</v>
      </c>
      <c r="E28" s="34" t="s">
        <v>4</v>
      </c>
      <c r="F28" s="31">
        <v>0.4166666666666667</v>
      </c>
      <c r="G28" s="31">
        <v>0.4583333333333333</v>
      </c>
      <c r="H28" s="40" t="s">
        <v>5</v>
      </c>
      <c r="I28" s="33">
        <v>0.041666666666666664</v>
      </c>
      <c r="J28" s="34" t="s">
        <v>4</v>
      </c>
      <c r="K28" s="30"/>
      <c r="L28" s="30"/>
      <c r="M28" s="35" t="s">
        <v>2</v>
      </c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8"/>
      <c r="C29" s="29"/>
      <c r="D29" s="29"/>
      <c r="E29" s="30"/>
      <c r="F29" s="31">
        <v>0.4583333333333333</v>
      </c>
      <c r="G29" s="31">
        <v>0.4791666666666667</v>
      </c>
      <c r="H29" s="32" t="s">
        <v>7</v>
      </c>
      <c r="I29" s="33">
        <v>0.020833333333333332</v>
      </c>
      <c r="J29" s="34" t="s">
        <v>8</v>
      </c>
      <c r="K29" s="30"/>
      <c r="L29" s="30"/>
      <c r="M29" s="35" t="s">
        <v>2</v>
      </c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/>
      <c r="B30" s="28"/>
      <c r="C30" s="29"/>
      <c r="D30" s="29"/>
      <c r="E30" s="30"/>
      <c r="F30" s="31">
        <v>0.4791666666666667</v>
      </c>
      <c r="G30" s="31">
        <v>0.5833333333333334</v>
      </c>
      <c r="H30" s="36" t="s">
        <v>9</v>
      </c>
      <c r="I30" s="33">
        <v>0.10416666666666667</v>
      </c>
      <c r="J30" s="34" t="s">
        <v>19</v>
      </c>
      <c r="K30" s="30"/>
      <c r="L30" s="30"/>
      <c r="M30" s="41" t="s">
        <v>2</v>
      </c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8"/>
      <c r="C31" s="29"/>
      <c r="D31" s="29"/>
      <c r="E31" s="30"/>
      <c r="F31" s="31">
        <v>0.625</v>
      </c>
      <c r="G31" s="31">
        <v>0.75</v>
      </c>
      <c r="H31" s="40" t="s">
        <v>5</v>
      </c>
      <c r="I31" s="33">
        <v>0.125</v>
      </c>
      <c r="J31" s="34" t="s">
        <v>20</v>
      </c>
      <c r="K31" s="30"/>
      <c r="L31" s="30"/>
      <c r="M31" s="41" t="s">
        <v>2</v>
      </c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/>
      <c r="B32" s="28"/>
      <c r="C32" s="29"/>
      <c r="D32" s="29"/>
      <c r="E32" s="30"/>
      <c r="F32" s="31">
        <v>0.75</v>
      </c>
      <c r="G32" s="31">
        <v>0.7916666666666666</v>
      </c>
      <c r="H32" s="29"/>
      <c r="I32" s="33">
        <v>0.041666666666666664</v>
      </c>
      <c r="J32" s="34" t="s">
        <v>21</v>
      </c>
      <c r="K32" s="30"/>
      <c r="L32" s="30"/>
      <c r="M32" s="35" t="s">
        <v>2</v>
      </c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8"/>
      <c r="C33" s="29"/>
      <c r="D33" s="29"/>
      <c r="E33" s="30"/>
      <c r="F33" s="29"/>
      <c r="G33" s="29"/>
      <c r="H33" s="29"/>
      <c r="I33" s="33">
        <v>0.0</v>
      </c>
      <c r="J33" s="30"/>
      <c r="K33" s="37"/>
      <c r="L33" s="30"/>
      <c r="M33" s="29"/>
      <c r="N33" s="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39">
        <v>46179.0</v>
      </c>
      <c r="C34" s="31">
        <v>0.4166666666666667</v>
      </c>
      <c r="D34" s="31">
        <v>0.75</v>
      </c>
      <c r="E34" s="34" t="s">
        <v>4</v>
      </c>
      <c r="F34" s="31">
        <v>0.4166666666666667</v>
      </c>
      <c r="G34" s="31">
        <v>0.4583333333333333</v>
      </c>
      <c r="H34" s="40" t="s">
        <v>5</v>
      </c>
      <c r="I34" s="33">
        <v>0.041666666666666664</v>
      </c>
      <c r="J34" s="34" t="s">
        <v>22</v>
      </c>
      <c r="K34" s="30"/>
      <c r="L34" s="30"/>
      <c r="M34" s="35" t="s">
        <v>2</v>
      </c>
      <c r="N34" s="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8"/>
      <c r="C35" s="29"/>
      <c r="D35" s="29"/>
      <c r="E35" s="30"/>
      <c r="F35" s="31">
        <v>0.4583333333333333</v>
      </c>
      <c r="G35" s="31">
        <v>0.5833333333333334</v>
      </c>
      <c r="H35" s="36" t="s">
        <v>9</v>
      </c>
      <c r="I35" s="33">
        <v>0.125</v>
      </c>
      <c r="J35" s="34" t="s">
        <v>23</v>
      </c>
      <c r="K35" s="37"/>
      <c r="L35" s="30"/>
      <c r="M35" s="41" t="s">
        <v>2</v>
      </c>
      <c r="N35" s="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8"/>
      <c r="C36" s="29"/>
      <c r="D36" s="29"/>
      <c r="E36" s="30"/>
      <c r="F36" s="31">
        <v>0.625</v>
      </c>
      <c r="G36" s="31">
        <v>0.75</v>
      </c>
      <c r="H36" s="36" t="s">
        <v>9</v>
      </c>
      <c r="I36" s="33">
        <v>0.125</v>
      </c>
      <c r="J36" s="34" t="s">
        <v>23</v>
      </c>
      <c r="K36" s="30"/>
      <c r="L36" s="30"/>
      <c r="M36" s="41" t="s">
        <v>2</v>
      </c>
      <c r="N36" s="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8"/>
      <c r="C37" s="29"/>
      <c r="D37" s="29"/>
      <c r="E37" s="30"/>
      <c r="F37" s="29"/>
      <c r="G37" s="29"/>
      <c r="H37" s="29"/>
      <c r="I37" s="33">
        <v>0.0</v>
      </c>
      <c r="J37" s="30"/>
      <c r="K37" s="37"/>
      <c r="L37" s="30"/>
      <c r="M37" s="29"/>
      <c r="N37" s="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39">
        <v>46148.0</v>
      </c>
      <c r="C38" s="31">
        <v>0.4166666666666667</v>
      </c>
      <c r="D38" s="31">
        <v>0.7916666666666666</v>
      </c>
      <c r="E38" s="34" t="s">
        <v>4</v>
      </c>
      <c r="F38" s="31">
        <v>0.4166666666666667</v>
      </c>
      <c r="G38" s="31">
        <v>0.4583333333333333</v>
      </c>
      <c r="H38" s="40" t="s">
        <v>5</v>
      </c>
      <c r="I38" s="33">
        <v>0.041666666666666664</v>
      </c>
      <c r="J38" s="34" t="s">
        <v>4</v>
      </c>
      <c r="K38" s="30"/>
      <c r="L38" s="30"/>
      <c r="M38" s="35" t="s">
        <v>2</v>
      </c>
      <c r="N38" s="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8"/>
      <c r="C39" s="29"/>
      <c r="D39" s="29"/>
      <c r="E39" s="30"/>
      <c r="F39" s="31">
        <v>0.4583333333333333</v>
      </c>
      <c r="G39" s="31">
        <v>0.4791666666666667</v>
      </c>
      <c r="H39" s="32" t="s">
        <v>7</v>
      </c>
      <c r="I39" s="33">
        <v>0.020833333333333332</v>
      </c>
      <c r="J39" s="34" t="s">
        <v>8</v>
      </c>
      <c r="K39" s="30"/>
      <c r="L39" s="30"/>
      <c r="M39" s="35" t="s">
        <v>2</v>
      </c>
      <c r="N39" s="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8"/>
      <c r="C40" s="29"/>
      <c r="D40" s="29"/>
      <c r="E40" s="30"/>
      <c r="F40" s="31">
        <v>0.4791666666666667</v>
      </c>
      <c r="G40" s="31">
        <v>0.5833333333333334</v>
      </c>
      <c r="H40" s="36" t="s">
        <v>9</v>
      </c>
      <c r="I40" s="33">
        <v>0.10416666666666667</v>
      </c>
      <c r="J40" s="34" t="s">
        <v>19</v>
      </c>
      <c r="K40" s="30"/>
      <c r="L40" s="30"/>
      <c r="M40" s="41" t="s">
        <v>2</v>
      </c>
      <c r="N40" s="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8"/>
      <c r="C41" s="29"/>
      <c r="D41" s="29"/>
      <c r="E41" s="30"/>
      <c r="F41" s="31">
        <v>0.625</v>
      </c>
      <c r="G41" s="31">
        <v>0.75</v>
      </c>
      <c r="H41" s="40" t="s">
        <v>5</v>
      </c>
      <c r="I41" s="33">
        <v>0.125</v>
      </c>
      <c r="J41" s="34" t="s">
        <v>20</v>
      </c>
      <c r="K41" s="30"/>
      <c r="L41" s="30"/>
      <c r="M41" s="41" t="s">
        <v>2</v>
      </c>
      <c r="N41" s="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8"/>
      <c r="C42" s="29"/>
      <c r="D42" s="29"/>
      <c r="E42" s="30"/>
      <c r="F42" s="31">
        <v>0.75</v>
      </c>
      <c r="G42" s="31">
        <v>0.7916666666666666</v>
      </c>
      <c r="H42" s="29"/>
      <c r="I42" s="33">
        <v>0.041666666666666664</v>
      </c>
      <c r="J42" s="34" t="s">
        <v>21</v>
      </c>
      <c r="K42" s="30"/>
      <c r="L42" s="30"/>
      <c r="M42" s="35" t="s">
        <v>2</v>
      </c>
      <c r="N42" s="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39">
        <v>46240.0</v>
      </c>
      <c r="C43" s="31">
        <v>0.4166666666666667</v>
      </c>
      <c r="D43" s="31">
        <v>0.8229166666666666</v>
      </c>
      <c r="E43" s="34" t="s">
        <v>4</v>
      </c>
      <c r="F43" s="31">
        <v>0.4166666666666667</v>
      </c>
      <c r="G43" s="31">
        <v>0.4583333333333333</v>
      </c>
      <c r="H43" s="40" t="s">
        <v>5</v>
      </c>
      <c r="I43" s="33">
        <v>0.041666666666666664</v>
      </c>
      <c r="J43" s="34" t="s">
        <v>22</v>
      </c>
      <c r="K43" s="30"/>
      <c r="L43" s="30"/>
      <c r="M43" s="35" t="s">
        <v>2</v>
      </c>
      <c r="N43" s="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8"/>
      <c r="C44" s="29"/>
      <c r="D44" s="29"/>
      <c r="E44" s="30"/>
      <c r="F44" s="31">
        <v>0.4583333333333333</v>
      </c>
      <c r="G44" s="31">
        <v>0.4791666666666667</v>
      </c>
      <c r="H44" s="32" t="s">
        <v>7</v>
      </c>
      <c r="I44" s="33">
        <v>0.020833333333333332</v>
      </c>
      <c r="J44" s="34" t="s">
        <v>8</v>
      </c>
      <c r="K44" s="30"/>
      <c r="L44" s="30"/>
      <c r="M44" s="35" t="s">
        <v>2</v>
      </c>
      <c r="N44" s="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8"/>
      <c r="C45" s="29"/>
      <c r="D45" s="29"/>
      <c r="E45" s="30"/>
      <c r="F45" s="31">
        <v>0.4791666666666667</v>
      </c>
      <c r="G45" s="31">
        <v>0.5833333333333334</v>
      </c>
      <c r="H45" s="36" t="s">
        <v>9</v>
      </c>
      <c r="I45" s="33">
        <v>0.10416666666666667</v>
      </c>
      <c r="J45" s="34" t="s">
        <v>25</v>
      </c>
      <c r="K45" s="30"/>
      <c r="L45" s="30"/>
      <c r="M45" s="41" t="s">
        <v>2</v>
      </c>
      <c r="N45" s="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8"/>
      <c r="C46" s="29"/>
      <c r="D46" s="29"/>
      <c r="E46" s="30"/>
      <c r="F46" s="31">
        <v>0.625</v>
      </c>
      <c r="G46" s="31">
        <v>0.75</v>
      </c>
      <c r="H46" s="36" t="s">
        <v>9</v>
      </c>
      <c r="I46" s="33">
        <v>0.125</v>
      </c>
      <c r="J46" s="34" t="s">
        <v>26</v>
      </c>
      <c r="K46" s="30"/>
      <c r="L46" s="30"/>
      <c r="M46" s="35" t="s">
        <v>2</v>
      </c>
      <c r="N46" s="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8"/>
      <c r="C47" s="29"/>
      <c r="D47" s="29"/>
      <c r="E47" s="38"/>
      <c r="F47" s="31">
        <v>0.75</v>
      </c>
      <c r="G47" s="31">
        <v>0.8229166666666666</v>
      </c>
      <c r="H47" s="40" t="s">
        <v>5</v>
      </c>
      <c r="I47" s="33">
        <v>0.07291666666666667</v>
      </c>
      <c r="J47" s="34" t="s">
        <v>27</v>
      </c>
      <c r="K47" s="30"/>
      <c r="L47" s="30"/>
      <c r="M47" s="41" t="s">
        <v>2</v>
      </c>
      <c r="N47" s="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8"/>
      <c r="C48" s="29"/>
      <c r="D48" s="29"/>
      <c r="E48" s="30"/>
      <c r="F48" s="29"/>
      <c r="G48" s="29"/>
      <c r="H48" s="29"/>
      <c r="I48" s="33">
        <v>0.0</v>
      </c>
      <c r="J48" s="30"/>
      <c r="K48" s="30"/>
      <c r="L48" s="30"/>
      <c r="M48" s="29"/>
      <c r="N48" s="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39">
        <v>46271.0</v>
      </c>
      <c r="C49" s="31">
        <v>0.4166666666666667</v>
      </c>
      <c r="D49" s="31">
        <v>1.0</v>
      </c>
      <c r="E49" s="34" t="s">
        <v>4</v>
      </c>
      <c r="F49" s="31">
        <v>0.4166666666666667</v>
      </c>
      <c r="G49" s="31">
        <v>0.4583333333333333</v>
      </c>
      <c r="H49" s="40" t="s">
        <v>5</v>
      </c>
      <c r="I49" s="33">
        <v>0.041666666666666664</v>
      </c>
      <c r="J49" s="34" t="s">
        <v>22</v>
      </c>
      <c r="K49" s="30"/>
      <c r="L49" s="30"/>
      <c r="M49" s="35" t="s">
        <v>2</v>
      </c>
      <c r="N49" s="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8"/>
      <c r="C50" s="29"/>
      <c r="D50" s="29"/>
      <c r="E50" s="30"/>
      <c r="F50" s="31">
        <v>0.4583333333333333</v>
      </c>
      <c r="G50" s="31">
        <v>0.4791666666666667</v>
      </c>
      <c r="H50" s="32" t="s">
        <v>7</v>
      </c>
      <c r="I50" s="33">
        <v>0.020833333333333332</v>
      </c>
      <c r="J50" s="34" t="s">
        <v>8</v>
      </c>
      <c r="K50" s="30"/>
      <c r="L50" s="30"/>
      <c r="M50" s="35" t="s">
        <v>2</v>
      </c>
      <c r="N50" s="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8"/>
      <c r="C51" s="29"/>
      <c r="D51" s="29"/>
      <c r="E51" s="30"/>
      <c r="F51" s="31">
        <v>0.4791666666666667</v>
      </c>
      <c r="G51" s="31">
        <v>0.5833333333333334</v>
      </c>
      <c r="H51" s="36" t="s">
        <v>9</v>
      </c>
      <c r="I51" s="33">
        <v>0.10416666666666667</v>
      </c>
      <c r="J51" s="34" t="s">
        <v>28</v>
      </c>
      <c r="K51" s="30"/>
      <c r="L51" s="30"/>
      <c r="M51" s="41" t="s">
        <v>2</v>
      </c>
      <c r="N51" s="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8"/>
      <c r="C52" s="29"/>
      <c r="D52" s="29"/>
      <c r="E52" s="30"/>
      <c r="F52" s="31">
        <v>0.625</v>
      </c>
      <c r="G52" s="31">
        <v>0.75</v>
      </c>
      <c r="H52" s="36" t="s">
        <v>9</v>
      </c>
      <c r="I52" s="33">
        <v>0.125</v>
      </c>
      <c r="J52" s="34" t="s">
        <v>29</v>
      </c>
      <c r="K52" s="30"/>
      <c r="L52" s="30"/>
      <c r="M52" s="35" t="s">
        <v>2</v>
      </c>
      <c r="N52" s="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8"/>
      <c r="C53" s="29"/>
      <c r="D53" s="29"/>
      <c r="E53" s="30"/>
      <c r="F53" s="31">
        <v>0.75</v>
      </c>
      <c r="G53" s="31">
        <v>0.7708333333333334</v>
      </c>
      <c r="H53" s="32" t="s">
        <v>7</v>
      </c>
      <c r="I53" s="33">
        <v>0.020833333333333332</v>
      </c>
      <c r="J53" s="34" t="s">
        <v>8</v>
      </c>
      <c r="K53" s="30"/>
      <c r="L53" s="30"/>
      <c r="M53" s="35" t="s">
        <v>2</v>
      </c>
      <c r="N53" s="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8"/>
      <c r="C54" s="29"/>
      <c r="D54" s="29"/>
      <c r="E54" s="30"/>
      <c r="F54" s="31">
        <v>0.7708333333333334</v>
      </c>
      <c r="G54" s="31">
        <v>1.0</v>
      </c>
      <c r="H54" s="36" t="s">
        <v>9</v>
      </c>
      <c r="I54" s="33">
        <v>0.22916666666666666</v>
      </c>
      <c r="J54" s="34" t="s">
        <v>28</v>
      </c>
      <c r="K54" s="30"/>
      <c r="L54" s="30"/>
      <c r="M54" s="41" t="s">
        <v>2</v>
      </c>
      <c r="N54" s="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8"/>
      <c r="C55" s="29"/>
      <c r="D55" s="29"/>
      <c r="E55" s="30"/>
      <c r="F55" s="29"/>
      <c r="G55" s="29"/>
      <c r="H55" s="29"/>
      <c r="I55" s="33">
        <v>0.0</v>
      </c>
      <c r="J55" s="30"/>
      <c r="K55" s="30"/>
      <c r="L55" s="30"/>
      <c r="M55" s="29"/>
      <c r="N55" s="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39">
        <v>46301.0</v>
      </c>
      <c r="C56" s="31">
        <v>0.0</v>
      </c>
      <c r="D56" s="31">
        <v>0.5416666666666666</v>
      </c>
      <c r="E56" s="34" t="s">
        <v>30</v>
      </c>
      <c r="F56" s="31">
        <v>0.4166666666666667</v>
      </c>
      <c r="G56" s="31">
        <v>0.4583333333333333</v>
      </c>
      <c r="H56" s="40" t="s">
        <v>5</v>
      </c>
      <c r="I56" s="33">
        <v>0.041666666666666664</v>
      </c>
      <c r="J56" s="34" t="s">
        <v>27</v>
      </c>
      <c r="K56" s="30"/>
      <c r="L56" s="30"/>
      <c r="M56" s="35" t="s">
        <v>2</v>
      </c>
      <c r="N56" s="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8"/>
      <c r="C57" s="29"/>
      <c r="D57" s="29"/>
      <c r="E57" s="30"/>
      <c r="F57" s="31">
        <v>0.4583333333333333</v>
      </c>
      <c r="G57" s="31">
        <v>0.4791666666666667</v>
      </c>
      <c r="H57" s="32" t="s">
        <v>7</v>
      </c>
      <c r="I57" s="33">
        <v>0.020833333333333332</v>
      </c>
      <c r="J57" s="34" t="s">
        <v>8</v>
      </c>
      <c r="K57" s="30"/>
      <c r="L57" s="30"/>
      <c r="M57" s="35" t="s">
        <v>2</v>
      </c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54"/>
      <c r="C58" s="55"/>
      <c r="D58" s="55"/>
      <c r="E58" s="51"/>
      <c r="F58" s="31">
        <v>0.4791666666666667</v>
      </c>
      <c r="G58" s="31">
        <v>0.5833333333333334</v>
      </c>
      <c r="H58" s="36" t="s">
        <v>9</v>
      </c>
      <c r="I58" s="33">
        <v>0.10416666666666667</v>
      </c>
      <c r="J58" s="34" t="s">
        <v>113</v>
      </c>
      <c r="K58" s="30"/>
      <c r="L58" s="30"/>
      <c r="M58" s="41" t="s">
        <v>2</v>
      </c>
      <c r="N58" s="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54"/>
      <c r="C59" s="55"/>
      <c r="D59" s="55"/>
      <c r="E59" s="51"/>
      <c r="F59" s="31">
        <v>0.625</v>
      </c>
      <c r="G59" s="31">
        <v>0.75</v>
      </c>
      <c r="H59" s="36" t="s">
        <v>9</v>
      </c>
      <c r="I59" s="33">
        <v>0.125</v>
      </c>
      <c r="J59" s="34" t="s">
        <v>29</v>
      </c>
      <c r="K59" s="30"/>
      <c r="L59" s="30"/>
      <c r="M59" s="35" t="s">
        <v>2</v>
      </c>
      <c r="N59" s="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54"/>
      <c r="C60" s="55"/>
      <c r="D60" s="55"/>
      <c r="E60" s="51"/>
      <c r="F60" s="31">
        <v>0.75</v>
      </c>
      <c r="G60" s="31">
        <v>0.7708333333333334</v>
      </c>
      <c r="H60" s="32" t="s">
        <v>7</v>
      </c>
      <c r="I60" s="33">
        <v>0.020833333333333332</v>
      </c>
      <c r="J60" s="34" t="s">
        <v>8</v>
      </c>
      <c r="K60" s="30"/>
      <c r="L60" s="30"/>
      <c r="M60" s="35" t="s">
        <v>2</v>
      </c>
      <c r="N60" s="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54"/>
      <c r="C61" s="55"/>
      <c r="D61" s="55"/>
      <c r="E61" s="51"/>
      <c r="F61" s="31">
        <v>0.7708333333333334</v>
      </c>
      <c r="G61" s="31">
        <v>1.0</v>
      </c>
      <c r="H61" s="36" t="s">
        <v>9</v>
      </c>
      <c r="I61" s="33">
        <v>0.22916666666666666</v>
      </c>
      <c r="J61" s="34" t="s">
        <v>28</v>
      </c>
      <c r="K61" s="30"/>
      <c r="L61" s="30"/>
      <c r="M61" s="41" t="s">
        <v>2</v>
      </c>
      <c r="N61" s="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54"/>
      <c r="C62" s="55"/>
      <c r="D62" s="55"/>
      <c r="E62" s="51"/>
      <c r="F62" s="55"/>
      <c r="G62" s="55"/>
      <c r="H62" s="52"/>
      <c r="I62" s="56">
        <f>G62-F62</f>
        <v>0</v>
      </c>
      <c r="J62" s="51"/>
      <c r="K62" s="51"/>
      <c r="L62" s="51"/>
      <c r="M62" s="63"/>
      <c r="N62" s="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39">
        <v>46332.0</v>
      </c>
      <c r="C63" s="31">
        <v>0.0</v>
      </c>
      <c r="D63" s="31">
        <v>0.5416666666666666</v>
      </c>
      <c r="E63" s="34" t="s">
        <v>30</v>
      </c>
      <c r="F63" s="31">
        <v>0.4583333333333333</v>
      </c>
      <c r="G63" s="31">
        <v>0.4791666666666667</v>
      </c>
      <c r="H63" s="32" t="s">
        <v>7</v>
      </c>
      <c r="I63" s="33">
        <v>0.020833333333333332</v>
      </c>
      <c r="J63" s="34" t="s">
        <v>113</v>
      </c>
      <c r="K63" s="30"/>
      <c r="L63" s="30"/>
      <c r="M63" s="35" t="s">
        <v>2</v>
      </c>
      <c r="N63" s="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8"/>
      <c r="C64" s="29"/>
      <c r="D64" s="29"/>
      <c r="E64" s="30"/>
      <c r="F64" s="31">
        <v>0.4791666666666667</v>
      </c>
      <c r="G64" s="31">
        <v>0.5833333333333334</v>
      </c>
      <c r="H64" s="36" t="s">
        <v>9</v>
      </c>
      <c r="I64" s="33">
        <v>0.10416666666666667</v>
      </c>
      <c r="J64" s="34" t="s">
        <v>113</v>
      </c>
      <c r="K64" s="30"/>
      <c r="L64" s="30"/>
      <c r="M64" s="41" t="s">
        <v>2</v>
      </c>
      <c r="N64" s="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54"/>
      <c r="C65" s="55"/>
      <c r="D65" s="55"/>
      <c r="E65" s="51"/>
      <c r="F65" s="31">
        <v>0.625</v>
      </c>
      <c r="G65" s="31">
        <v>0.75</v>
      </c>
      <c r="H65" s="36" t="s">
        <v>9</v>
      </c>
      <c r="I65" s="33">
        <v>0.125</v>
      </c>
      <c r="J65" s="34" t="s">
        <v>29</v>
      </c>
      <c r="K65" s="30"/>
      <c r="L65" s="30"/>
      <c r="M65" s="35" t="s">
        <v>2</v>
      </c>
      <c r="N65" s="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/>
      <c r="B66" s="54"/>
      <c r="C66" s="55"/>
      <c r="D66" s="55"/>
      <c r="E66" s="51"/>
      <c r="F66" s="31">
        <v>0.75</v>
      </c>
      <c r="G66" s="31">
        <v>0.7708333333333334</v>
      </c>
      <c r="H66" s="32" t="s">
        <v>7</v>
      </c>
      <c r="I66" s="33">
        <v>0.020833333333333332</v>
      </c>
      <c r="J66" s="34" t="s">
        <v>8</v>
      </c>
      <c r="K66" s="30"/>
      <c r="L66" s="30"/>
      <c r="M66" s="35" t="s">
        <v>2</v>
      </c>
      <c r="N66" s="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/>
      <c r="B67" s="54"/>
      <c r="C67" s="55"/>
      <c r="D67" s="55"/>
      <c r="E67" s="51"/>
      <c r="F67" s="31">
        <v>0.7708333333333334</v>
      </c>
      <c r="G67" s="31">
        <v>1.0</v>
      </c>
      <c r="H67" s="36" t="s">
        <v>9</v>
      </c>
      <c r="I67" s="33">
        <v>0.22916666666666666</v>
      </c>
      <c r="J67" s="34" t="s">
        <v>28</v>
      </c>
      <c r="K67" s="30"/>
      <c r="L67" s="30"/>
      <c r="M67" s="41" t="s">
        <v>2</v>
      </c>
      <c r="N67" s="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/>
      <c r="B68" s="54"/>
      <c r="C68" s="55"/>
      <c r="D68" s="55"/>
      <c r="E68" s="51"/>
      <c r="F68" s="31"/>
      <c r="G68" s="31"/>
      <c r="H68" s="36"/>
      <c r="I68" s="33"/>
      <c r="J68" s="34"/>
      <c r="K68" s="30"/>
      <c r="L68" s="30"/>
      <c r="M68" s="41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/>
      <c r="B69" s="54"/>
      <c r="C69" s="55"/>
      <c r="D69" s="55"/>
      <c r="E69" s="64"/>
      <c r="F69" s="55"/>
      <c r="G69" s="55"/>
      <c r="H69" s="52"/>
      <c r="I69" s="56">
        <f t="shared" ref="I69:I192" si="1">G69-F69</f>
        <v>0</v>
      </c>
      <c r="J69" s="64"/>
      <c r="K69" s="51"/>
      <c r="L69" s="51"/>
      <c r="M69" s="63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/>
      <c r="B70" s="54"/>
      <c r="C70" s="55"/>
      <c r="D70" s="55"/>
      <c r="E70" s="51"/>
      <c r="F70" s="55"/>
      <c r="G70" s="55"/>
      <c r="H70" s="52"/>
      <c r="I70" s="56">
        <f t="shared" si="1"/>
        <v>0</v>
      </c>
      <c r="J70" s="64"/>
      <c r="K70" s="51"/>
      <c r="L70" s="51"/>
      <c r="M70" s="63"/>
      <c r="N70" s="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/>
      <c r="B71" s="54"/>
      <c r="C71" s="55"/>
      <c r="D71" s="55"/>
      <c r="E71" s="51"/>
      <c r="F71" s="55"/>
      <c r="G71" s="55"/>
      <c r="H71" s="52"/>
      <c r="I71" s="56">
        <f t="shared" si="1"/>
        <v>0</v>
      </c>
      <c r="J71" s="51"/>
      <c r="K71" s="51"/>
      <c r="L71" s="51"/>
      <c r="M71" s="63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/>
      <c r="B72" s="54"/>
      <c r="C72" s="55"/>
      <c r="D72" s="55"/>
      <c r="E72" s="51"/>
      <c r="F72" s="55"/>
      <c r="G72" s="55"/>
      <c r="H72" s="52"/>
      <c r="I72" s="56">
        <f t="shared" si="1"/>
        <v>0</v>
      </c>
      <c r="J72" s="64"/>
      <c r="K72" s="51"/>
      <c r="L72" s="51"/>
      <c r="M72" s="63"/>
      <c r="N72" s="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/>
      <c r="B73" s="54"/>
      <c r="C73" s="55"/>
      <c r="D73" s="55"/>
      <c r="E73" s="51"/>
      <c r="F73" s="55"/>
      <c r="G73" s="55"/>
      <c r="H73" s="52"/>
      <c r="I73" s="56">
        <f t="shared" si="1"/>
        <v>0</v>
      </c>
      <c r="J73" s="51"/>
      <c r="K73" s="51"/>
      <c r="L73" s="51"/>
      <c r="M73" s="63"/>
      <c r="N73" s="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/>
      <c r="B74" s="54"/>
      <c r="C74" s="55"/>
      <c r="D74" s="55"/>
      <c r="E74" s="64"/>
      <c r="F74" s="55"/>
      <c r="G74" s="55"/>
      <c r="H74" s="52"/>
      <c r="I74" s="56">
        <f t="shared" si="1"/>
        <v>0</v>
      </c>
      <c r="J74" s="64"/>
      <c r="K74" s="51"/>
      <c r="L74" s="51"/>
      <c r="M74" s="63"/>
      <c r="N74" s="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/>
      <c r="B75" s="54"/>
      <c r="C75" s="55"/>
      <c r="D75" s="55"/>
      <c r="E75" s="51"/>
      <c r="F75" s="55"/>
      <c r="G75" s="55"/>
      <c r="H75" s="52"/>
      <c r="I75" s="56">
        <f t="shared" si="1"/>
        <v>0</v>
      </c>
      <c r="J75" s="64"/>
      <c r="K75" s="51"/>
      <c r="L75" s="51"/>
      <c r="M75" s="63"/>
      <c r="N75" s="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/>
      <c r="B76" s="54"/>
      <c r="C76" s="55"/>
      <c r="D76" s="55"/>
      <c r="E76" s="51"/>
      <c r="F76" s="55"/>
      <c r="G76" s="55"/>
      <c r="H76" s="52"/>
      <c r="I76" s="56">
        <f t="shared" si="1"/>
        <v>0</v>
      </c>
      <c r="J76" s="51"/>
      <c r="K76" s="51"/>
      <c r="L76" s="51"/>
      <c r="M76" s="63"/>
      <c r="N76" s="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/>
      <c r="B77" s="54"/>
      <c r="C77" s="55"/>
      <c r="D77" s="55"/>
      <c r="E77" s="64"/>
      <c r="F77" s="55"/>
      <c r="G77" s="55"/>
      <c r="H77" s="52"/>
      <c r="I77" s="56">
        <f t="shared" si="1"/>
        <v>0</v>
      </c>
      <c r="J77" s="64"/>
      <c r="K77" s="51"/>
      <c r="L77" s="51"/>
      <c r="M77" s="63"/>
      <c r="N77" s="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/>
      <c r="B78" s="54"/>
      <c r="C78" s="55"/>
      <c r="D78" s="55"/>
      <c r="E78" s="51"/>
      <c r="F78" s="55"/>
      <c r="G78" s="55"/>
      <c r="H78" s="52"/>
      <c r="I78" s="56">
        <f t="shared" si="1"/>
        <v>0</v>
      </c>
      <c r="J78" s="64"/>
      <c r="K78" s="51"/>
      <c r="L78" s="51"/>
      <c r="M78" s="63"/>
      <c r="N78" s="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/>
      <c r="B79" s="54"/>
      <c r="C79" s="55"/>
      <c r="D79" s="55"/>
      <c r="E79" s="51"/>
      <c r="F79" s="55"/>
      <c r="G79" s="55"/>
      <c r="H79" s="52"/>
      <c r="I79" s="56">
        <f t="shared" si="1"/>
        <v>0</v>
      </c>
      <c r="J79" s="64"/>
      <c r="K79" s="51"/>
      <c r="L79" s="51"/>
      <c r="M79" s="63"/>
      <c r="N79" s="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/>
      <c r="B80" s="54"/>
      <c r="C80" s="55"/>
      <c r="D80" s="55"/>
      <c r="E80" s="51"/>
      <c r="F80" s="55"/>
      <c r="G80" s="55"/>
      <c r="H80" s="52"/>
      <c r="I80" s="56">
        <f t="shared" si="1"/>
        <v>0</v>
      </c>
      <c r="J80" s="64"/>
      <c r="K80" s="51"/>
      <c r="L80" s="51"/>
      <c r="M80" s="63"/>
      <c r="N80" s="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/>
      <c r="B81" s="54"/>
      <c r="C81" s="55"/>
      <c r="D81" s="55"/>
      <c r="E81" s="51"/>
      <c r="F81" s="55"/>
      <c r="G81" s="55"/>
      <c r="H81" s="52"/>
      <c r="I81" s="56">
        <f t="shared" si="1"/>
        <v>0</v>
      </c>
      <c r="J81" s="64"/>
      <c r="K81" s="51"/>
      <c r="L81" s="51"/>
      <c r="M81" s="63"/>
      <c r="N81" s="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/>
      <c r="B82" s="54"/>
      <c r="C82" s="55"/>
      <c r="D82" s="55"/>
      <c r="E82" s="51"/>
      <c r="F82" s="55"/>
      <c r="G82" s="55"/>
      <c r="H82" s="52"/>
      <c r="I82" s="56">
        <f t="shared" si="1"/>
        <v>0</v>
      </c>
      <c r="J82" s="51"/>
      <c r="K82" s="51"/>
      <c r="L82" s="51"/>
      <c r="M82" s="63"/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/>
      <c r="B83" s="54"/>
      <c r="C83" s="55"/>
      <c r="D83" s="55"/>
      <c r="E83" s="64"/>
      <c r="F83" s="55"/>
      <c r="G83" s="55"/>
      <c r="H83" s="52"/>
      <c r="I83" s="56">
        <f t="shared" si="1"/>
        <v>0</v>
      </c>
      <c r="J83" s="64"/>
      <c r="K83" s="51"/>
      <c r="L83" s="51"/>
      <c r="M83" s="63"/>
      <c r="N83" s="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/>
      <c r="B84" s="54"/>
      <c r="C84" s="55"/>
      <c r="D84" s="55"/>
      <c r="E84" s="51"/>
      <c r="F84" s="55"/>
      <c r="G84" s="55"/>
      <c r="H84" s="52"/>
      <c r="I84" s="56">
        <f t="shared" si="1"/>
        <v>0</v>
      </c>
      <c r="J84" s="64"/>
      <c r="K84" s="51"/>
      <c r="L84" s="51"/>
      <c r="M84" s="63"/>
      <c r="N84" s="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/>
      <c r="B85" s="54"/>
      <c r="C85" s="55"/>
      <c r="D85" s="55"/>
      <c r="E85" s="51"/>
      <c r="F85" s="55"/>
      <c r="G85" s="55"/>
      <c r="H85" s="52"/>
      <c r="I85" s="56">
        <f t="shared" si="1"/>
        <v>0</v>
      </c>
      <c r="J85" s="64"/>
      <c r="K85" s="51"/>
      <c r="L85" s="51"/>
      <c r="M85" s="63"/>
      <c r="N85" s="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/>
      <c r="B86" s="54"/>
      <c r="C86" s="55"/>
      <c r="D86" s="55"/>
      <c r="E86" s="51"/>
      <c r="F86" s="55"/>
      <c r="G86" s="55"/>
      <c r="H86" s="52"/>
      <c r="I86" s="56">
        <f t="shared" si="1"/>
        <v>0</v>
      </c>
      <c r="J86" s="64"/>
      <c r="K86" s="51"/>
      <c r="L86" s="51"/>
      <c r="M86" s="63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/>
      <c r="B87" s="54"/>
      <c r="C87" s="55"/>
      <c r="D87" s="55"/>
      <c r="E87" s="51"/>
      <c r="F87" s="55"/>
      <c r="G87" s="55"/>
      <c r="H87" s="52"/>
      <c r="I87" s="56">
        <f t="shared" si="1"/>
        <v>0</v>
      </c>
      <c r="J87" s="64"/>
      <c r="K87" s="51"/>
      <c r="L87" s="51"/>
      <c r="M87" s="63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/>
      <c r="B88" s="54"/>
      <c r="C88" s="55"/>
      <c r="D88" s="55"/>
      <c r="E88" s="51"/>
      <c r="F88" s="55"/>
      <c r="G88" s="55"/>
      <c r="H88" s="52"/>
      <c r="I88" s="56">
        <f t="shared" si="1"/>
        <v>0</v>
      </c>
      <c r="J88" s="64"/>
      <c r="K88" s="51"/>
      <c r="L88" s="51"/>
      <c r="M88" s="63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/>
      <c r="B89" s="54"/>
      <c r="C89" s="55"/>
      <c r="D89" s="55"/>
      <c r="E89" s="51"/>
      <c r="F89" s="55"/>
      <c r="G89" s="55"/>
      <c r="H89" s="52"/>
      <c r="I89" s="56">
        <f t="shared" si="1"/>
        <v>0</v>
      </c>
      <c r="J89" s="51"/>
      <c r="K89" s="51"/>
      <c r="L89" s="51"/>
      <c r="M89" s="63"/>
      <c r="N89" s="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/>
      <c r="B90" s="54"/>
      <c r="C90" s="55"/>
      <c r="D90" s="55"/>
      <c r="E90" s="51"/>
      <c r="F90" s="55"/>
      <c r="G90" s="55"/>
      <c r="H90" s="52"/>
      <c r="I90" s="56">
        <f t="shared" si="1"/>
        <v>0</v>
      </c>
      <c r="J90" s="64"/>
      <c r="K90" s="51"/>
      <c r="L90" s="51"/>
      <c r="M90" s="63"/>
      <c r="N90" s="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/>
      <c r="B91" s="54"/>
      <c r="C91" s="55"/>
      <c r="D91" s="55"/>
      <c r="E91" s="51"/>
      <c r="F91" s="55"/>
      <c r="G91" s="55"/>
      <c r="H91" s="52"/>
      <c r="I91" s="56">
        <f t="shared" si="1"/>
        <v>0</v>
      </c>
      <c r="J91" s="51"/>
      <c r="K91" s="51"/>
      <c r="L91" s="51"/>
      <c r="M91" s="63"/>
      <c r="N91" s="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/>
      <c r="B92" s="54"/>
      <c r="C92" s="55"/>
      <c r="D92" s="55"/>
      <c r="E92" s="51"/>
      <c r="F92" s="55"/>
      <c r="G92" s="55"/>
      <c r="H92" s="52"/>
      <c r="I92" s="56">
        <f t="shared" si="1"/>
        <v>0</v>
      </c>
      <c r="J92" s="51"/>
      <c r="K92" s="51"/>
      <c r="L92" s="51"/>
      <c r="M92" s="63"/>
      <c r="N92" s="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/>
      <c r="B93" s="54"/>
      <c r="C93" s="55"/>
      <c r="D93" s="55"/>
      <c r="E93" s="51"/>
      <c r="F93" s="55"/>
      <c r="G93" s="55"/>
      <c r="H93" s="52"/>
      <c r="I93" s="56">
        <f t="shared" si="1"/>
        <v>0</v>
      </c>
      <c r="J93" s="64"/>
      <c r="K93" s="55"/>
      <c r="L93" s="55"/>
      <c r="M93" s="63"/>
      <c r="N93" s="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/>
      <c r="B94" s="54"/>
      <c r="C94" s="55"/>
      <c r="D94" s="55"/>
      <c r="E94" s="51"/>
      <c r="F94" s="55"/>
      <c r="G94" s="55"/>
      <c r="H94" s="52"/>
      <c r="I94" s="56">
        <f t="shared" si="1"/>
        <v>0</v>
      </c>
      <c r="J94" s="64"/>
      <c r="K94" s="51"/>
      <c r="L94" s="51"/>
      <c r="M94" s="63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/>
      <c r="B95" s="54"/>
      <c r="C95" s="55"/>
      <c r="D95" s="55"/>
      <c r="E95" s="64"/>
      <c r="F95" s="55"/>
      <c r="G95" s="55"/>
      <c r="H95" s="52"/>
      <c r="I95" s="56">
        <f t="shared" si="1"/>
        <v>0</v>
      </c>
      <c r="J95" s="64"/>
      <c r="K95" s="51"/>
      <c r="L95" s="51"/>
      <c r="M95" s="63"/>
      <c r="N95" s="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/>
      <c r="B96" s="54"/>
      <c r="C96" s="55"/>
      <c r="D96" s="55"/>
      <c r="E96" s="51"/>
      <c r="F96" s="55"/>
      <c r="G96" s="55"/>
      <c r="H96" s="52"/>
      <c r="I96" s="56">
        <f t="shared" si="1"/>
        <v>0</v>
      </c>
      <c r="J96" s="64"/>
      <c r="K96" s="51"/>
      <c r="L96" s="51"/>
      <c r="M96" s="63"/>
      <c r="N96" s="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/>
      <c r="B97" s="54"/>
      <c r="C97" s="55"/>
      <c r="D97" s="55"/>
      <c r="E97" s="51"/>
      <c r="F97" s="55"/>
      <c r="G97" s="55"/>
      <c r="H97" s="52"/>
      <c r="I97" s="56">
        <f t="shared" si="1"/>
        <v>0</v>
      </c>
      <c r="J97" s="64"/>
      <c r="K97" s="51"/>
      <c r="L97" s="51"/>
      <c r="M97" s="63"/>
      <c r="N97" s="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/>
      <c r="B98" s="54"/>
      <c r="C98" s="55"/>
      <c r="D98" s="55"/>
      <c r="E98" s="51"/>
      <c r="F98" s="55"/>
      <c r="G98" s="55"/>
      <c r="H98" s="52"/>
      <c r="I98" s="56">
        <f t="shared" si="1"/>
        <v>0</v>
      </c>
      <c r="J98" s="64"/>
      <c r="K98" s="51"/>
      <c r="L98" s="51"/>
      <c r="M98" s="63"/>
      <c r="N98" s="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/>
      <c r="B99" s="54"/>
      <c r="C99" s="55"/>
      <c r="D99" s="55"/>
      <c r="E99" s="51"/>
      <c r="F99" s="55"/>
      <c r="G99" s="55"/>
      <c r="H99" s="52"/>
      <c r="I99" s="56">
        <f t="shared" si="1"/>
        <v>0</v>
      </c>
      <c r="J99" s="64"/>
      <c r="K99" s="51"/>
      <c r="L99" s="51"/>
      <c r="M99" s="63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/>
      <c r="B100" s="54"/>
      <c r="C100" s="55"/>
      <c r="D100" s="55"/>
      <c r="E100" s="51"/>
      <c r="F100" s="55"/>
      <c r="G100" s="55"/>
      <c r="H100" s="52"/>
      <c r="I100" s="56">
        <f t="shared" si="1"/>
        <v>0</v>
      </c>
      <c r="J100" s="64"/>
      <c r="K100" s="51"/>
      <c r="L100" s="51"/>
      <c r="M100" s="63"/>
      <c r="N100" s="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/>
      <c r="B101" s="54"/>
      <c r="C101" s="55"/>
      <c r="D101" s="55"/>
      <c r="E101" s="51"/>
      <c r="F101" s="55"/>
      <c r="G101" s="55"/>
      <c r="H101" s="52"/>
      <c r="I101" s="56">
        <f t="shared" si="1"/>
        <v>0</v>
      </c>
      <c r="J101" s="51"/>
      <c r="K101" s="51"/>
      <c r="L101" s="51"/>
      <c r="M101" s="63"/>
      <c r="N101" s="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/>
      <c r="B102" s="54"/>
      <c r="C102" s="55"/>
      <c r="D102" s="55"/>
      <c r="E102" s="51"/>
      <c r="F102" s="55"/>
      <c r="G102" s="55"/>
      <c r="H102" s="52"/>
      <c r="I102" s="56">
        <f t="shared" si="1"/>
        <v>0</v>
      </c>
      <c r="J102" s="64"/>
      <c r="K102" s="51"/>
      <c r="L102" s="51"/>
      <c r="M102" s="63"/>
      <c r="N102" s="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/>
      <c r="B103" s="54"/>
      <c r="C103" s="55"/>
      <c r="D103" s="55"/>
      <c r="E103" s="64"/>
      <c r="F103" s="55"/>
      <c r="G103" s="55"/>
      <c r="H103" s="52"/>
      <c r="I103" s="56">
        <f t="shared" si="1"/>
        <v>0</v>
      </c>
      <c r="J103" s="64"/>
      <c r="K103" s="51"/>
      <c r="L103" s="51"/>
      <c r="M103" s="63"/>
      <c r="N103" s="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/>
      <c r="B104" s="54"/>
      <c r="C104" s="55"/>
      <c r="D104" s="55"/>
      <c r="E104" s="51"/>
      <c r="F104" s="55"/>
      <c r="G104" s="55"/>
      <c r="H104" s="52"/>
      <c r="I104" s="56">
        <f t="shared" si="1"/>
        <v>0</v>
      </c>
      <c r="J104" s="64"/>
      <c r="K104" s="51"/>
      <c r="L104" s="51"/>
      <c r="M104" s="63"/>
      <c r="N104" s="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/>
      <c r="B105" s="54"/>
      <c r="C105" s="55"/>
      <c r="D105" s="55"/>
      <c r="E105" s="51"/>
      <c r="F105" s="55"/>
      <c r="G105" s="55"/>
      <c r="H105" s="52"/>
      <c r="I105" s="56">
        <f t="shared" si="1"/>
        <v>0</v>
      </c>
      <c r="J105" s="64"/>
      <c r="K105" s="51"/>
      <c r="L105" s="51"/>
      <c r="M105" s="63"/>
      <c r="N105" s="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/>
      <c r="B106" s="54"/>
      <c r="C106" s="55"/>
      <c r="D106" s="55"/>
      <c r="E106" s="51"/>
      <c r="F106" s="55"/>
      <c r="G106" s="55"/>
      <c r="H106" s="52"/>
      <c r="I106" s="56">
        <f t="shared" si="1"/>
        <v>0</v>
      </c>
      <c r="J106" s="64"/>
      <c r="K106" s="51"/>
      <c r="L106" s="51"/>
      <c r="M106" s="63"/>
      <c r="N106" s="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/>
      <c r="B107" s="54"/>
      <c r="C107" s="55"/>
      <c r="D107" s="55"/>
      <c r="E107" s="51"/>
      <c r="F107" s="55"/>
      <c r="G107" s="55"/>
      <c r="H107" s="52"/>
      <c r="I107" s="56">
        <f t="shared" si="1"/>
        <v>0</v>
      </c>
      <c r="J107" s="64"/>
      <c r="K107" s="51"/>
      <c r="L107" s="51"/>
      <c r="M107" s="63"/>
      <c r="N107" s="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/>
      <c r="B108" s="54"/>
      <c r="C108" s="55"/>
      <c r="D108" s="55"/>
      <c r="E108" s="51"/>
      <c r="F108" s="55"/>
      <c r="G108" s="55"/>
      <c r="H108" s="52"/>
      <c r="I108" s="56">
        <f t="shared" si="1"/>
        <v>0</v>
      </c>
      <c r="J108" s="64"/>
      <c r="K108" s="51"/>
      <c r="L108" s="51"/>
      <c r="M108" s="63"/>
      <c r="N108" s="1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/>
      <c r="B109" s="54"/>
      <c r="C109" s="55"/>
      <c r="D109" s="55"/>
      <c r="E109" s="51"/>
      <c r="F109" s="55"/>
      <c r="G109" s="55"/>
      <c r="H109" s="52"/>
      <c r="I109" s="56">
        <f t="shared" si="1"/>
        <v>0</v>
      </c>
      <c r="J109" s="51"/>
      <c r="K109" s="51"/>
      <c r="L109" s="51"/>
      <c r="M109" s="63"/>
      <c r="N109" s="1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/>
      <c r="B110" s="54"/>
      <c r="C110" s="55"/>
      <c r="D110" s="55"/>
      <c r="E110" s="51"/>
      <c r="F110" s="55"/>
      <c r="G110" s="55"/>
      <c r="H110" s="52"/>
      <c r="I110" s="56">
        <f t="shared" si="1"/>
        <v>0</v>
      </c>
      <c r="J110" s="51"/>
      <c r="K110" s="51"/>
      <c r="L110" s="51"/>
      <c r="M110" s="63"/>
      <c r="N110" s="1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/>
      <c r="B111" s="54"/>
      <c r="C111" s="55"/>
      <c r="D111" s="55"/>
      <c r="E111" s="51"/>
      <c r="F111" s="55"/>
      <c r="G111" s="55"/>
      <c r="H111" s="52"/>
      <c r="I111" s="56">
        <f t="shared" si="1"/>
        <v>0</v>
      </c>
      <c r="J111" s="51"/>
      <c r="K111" s="51"/>
      <c r="L111" s="51"/>
      <c r="M111" s="63"/>
      <c r="N111" s="1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/>
      <c r="B112" s="54"/>
      <c r="C112" s="55"/>
      <c r="D112" s="55"/>
      <c r="E112" s="64"/>
      <c r="F112" s="55"/>
      <c r="G112" s="55"/>
      <c r="H112" s="52"/>
      <c r="I112" s="56">
        <f t="shared" si="1"/>
        <v>0</v>
      </c>
      <c r="J112" s="64"/>
      <c r="K112" s="51"/>
      <c r="L112" s="51"/>
      <c r="M112" s="63"/>
      <c r="N112" s="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/>
      <c r="B113" s="54"/>
      <c r="C113" s="55"/>
      <c r="D113" s="55"/>
      <c r="E113" s="51"/>
      <c r="F113" s="55"/>
      <c r="G113" s="55"/>
      <c r="H113" s="52"/>
      <c r="I113" s="56">
        <f t="shared" si="1"/>
        <v>0</v>
      </c>
      <c r="J113" s="64"/>
      <c r="K113" s="51"/>
      <c r="L113" s="51"/>
      <c r="M113" s="63"/>
      <c r="N113" s="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/>
      <c r="B114" s="54"/>
      <c r="C114" s="55"/>
      <c r="D114" s="55"/>
      <c r="E114" s="51"/>
      <c r="F114" s="55"/>
      <c r="G114" s="55"/>
      <c r="H114" s="52"/>
      <c r="I114" s="56">
        <f t="shared" si="1"/>
        <v>0</v>
      </c>
      <c r="J114" s="64"/>
      <c r="K114" s="51"/>
      <c r="L114" s="51"/>
      <c r="M114" s="63"/>
      <c r="N114" s="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/>
      <c r="B115" s="54"/>
      <c r="C115" s="55"/>
      <c r="D115" s="55"/>
      <c r="E115" s="51"/>
      <c r="F115" s="55"/>
      <c r="G115" s="55"/>
      <c r="H115" s="52"/>
      <c r="I115" s="56">
        <f t="shared" si="1"/>
        <v>0</v>
      </c>
      <c r="J115" s="64"/>
      <c r="K115" s="51"/>
      <c r="L115" s="51"/>
      <c r="M115" s="63"/>
      <c r="N115" s="1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/>
      <c r="B116" s="54"/>
      <c r="C116" s="55"/>
      <c r="D116" s="55"/>
      <c r="E116" s="51"/>
      <c r="F116" s="55"/>
      <c r="G116" s="55"/>
      <c r="H116" s="52"/>
      <c r="I116" s="56">
        <f t="shared" si="1"/>
        <v>0</v>
      </c>
      <c r="J116" s="64"/>
      <c r="K116" s="51"/>
      <c r="L116" s="51"/>
      <c r="M116" s="63"/>
      <c r="N116" s="1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/>
      <c r="B117" s="54"/>
      <c r="C117" s="55"/>
      <c r="D117" s="55"/>
      <c r="E117" s="51"/>
      <c r="F117" s="55"/>
      <c r="G117" s="55"/>
      <c r="H117" s="52"/>
      <c r="I117" s="56">
        <f t="shared" si="1"/>
        <v>0</v>
      </c>
      <c r="J117" s="64"/>
      <c r="K117" s="51"/>
      <c r="L117" s="51"/>
      <c r="M117" s="63"/>
      <c r="N117" s="1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/>
      <c r="B118" s="54"/>
      <c r="C118" s="55"/>
      <c r="D118" s="55"/>
      <c r="E118" s="51"/>
      <c r="F118" s="55"/>
      <c r="G118" s="55"/>
      <c r="H118" s="52"/>
      <c r="I118" s="56">
        <f t="shared" si="1"/>
        <v>0</v>
      </c>
      <c r="J118" s="51"/>
      <c r="K118" s="51"/>
      <c r="L118" s="51"/>
      <c r="M118" s="63"/>
      <c r="N118" s="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/>
      <c r="B119" s="54"/>
      <c r="C119" s="55"/>
      <c r="D119" s="55"/>
      <c r="E119" s="64"/>
      <c r="F119" s="55"/>
      <c r="G119" s="55"/>
      <c r="H119" s="52"/>
      <c r="I119" s="56">
        <f t="shared" si="1"/>
        <v>0</v>
      </c>
      <c r="J119" s="64"/>
      <c r="K119" s="51"/>
      <c r="L119" s="51"/>
      <c r="M119" s="63"/>
      <c r="N119" s="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/>
      <c r="B120" s="54"/>
      <c r="C120" s="55"/>
      <c r="D120" s="55"/>
      <c r="E120" s="51"/>
      <c r="F120" s="55"/>
      <c r="G120" s="55"/>
      <c r="H120" s="52"/>
      <c r="I120" s="56">
        <f t="shared" si="1"/>
        <v>0</v>
      </c>
      <c r="J120" s="64"/>
      <c r="K120" s="51"/>
      <c r="L120" s="51"/>
      <c r="M120" s="63"/>
      <c r="N120" s="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/>
      <c r="B121" s="54"/>
      <c r="C121" s="55"/>
      <c r="D121" s="55"/>
      <c r="E121" s="64"/>
      <c r="F121" s="55"/>
      <c r="G121" s="55"/>
      <c r="H121" s="52"/>
      <c r="I121" s="56">
        <f t="shared" si="1"/>
        <v>0</v>
      </c>
      <c r="J121" s="64"/>
      <c r="K121" s="51"/>
      <c r="L121" s="51"/>
      <c r="M121" s="63"/>
      <c r="N121" s="1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/>
      <c r="B122" s="54"/>
      <c r="C122" s="55"/>
      <c r="D122" s="55"/>
      <c r="E122" s="51"/>
      <c r="F122" s="55"/>
      <c r="G122" s="55"/>
      <c r="H122" s="52"/>
      <c r="I122" s="56">
        <f t="shared" si="1"/>
        <v>0</v>
      </c>
      <c r="J122" s="64"/>
      <c r="K122" s="51"/>
      <c r="L122" s="51"/>
      <c r="M122" s="63"/>
      <c r="N122" s="1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/>
      <c r="B123" s="54"/>
      <c r="C123" s="55"/>
      <c r="D123" s="55"/>
      <c r="E123" s="51"/>
      <c r="F123" s="55"/>
      <c r="G123" s="55"/>
      <c r="H123" s="52"/>
      <c r="I123" s="56">
        <f t="shared" si="1"/>
        <v>0</v>
      </c>
      <c r="J123" s="64"/>
      <c r="K123" s="51"/>
      <c r="L123" s="51"/>
      <c r="M123" s="63"/>
      <c r="N123" s="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/>
      <c r="B124" s="54"/>
      <c r="C124" s="55"/>
      <c r="D124" s="55"/>
      <c r="E124" s="51"/>
      <c r="F124" s="55"/>
      <c r="G124" s="55"/>
      <c r="H124" s="52"/>
      <c r="I124" s="56">
        <f t="shared" si="1"/>
        <v>0</v>
      </c>
      <c r="J124" s="64"/>
      <c r="K124" s="51"/>
      <c r="L124" s="51"/>
      <c r="M124" s="63"/>
      <c r="N124" s="1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/>
      <c r="B125" s="54"/>
      <c r="C125" s="55"/>
      <c r="D125" s="55"/>
      <c r="E125" s="51"/>
      <c r="F125" s="55"/>
      <c r="G125" s="55"/>
      <c r="H125" s="52"/>
      <c r="I125" s="56">
        <f t="shared" si="1"/>
        <v>0</v>
      </c>
      <c r="J125" s="64"/>
      <c r="K125" s="51"/>
      <c r="L125" s="51"/>
      <c r="M125" s="63"/>
      <c r="N125" s="1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/>
      <c r="B126" s="54"/>
      <c r="C126" s="55"/>
      <c r="D126" s="55"/>
      <c r="E126" s="51"/>
      <c r="F126" s="55"/>
      <c r="G126" s="55"/>
      <c r="H126" s="52"/>
      <c r="I126" s="56">
        <f t="shared" si="1"/>
        <v>0</v>
      </c>
      <c r="J126" s="64"/>
      <c r="K126" s="51"/>
      <c r="L126" s="51"/>
      <c r="M126" s="63"/>
      <c r="N126" s="1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/>
      <c r="B127" s="54"/>
      <c r="C127" s="55"/>
      <c r="D127" s="55"/>
      <c r="E127" s="51"/>
      <c r="F127" s="55"/>
      <c r="G127" s="55"/>
      <c r="H127" s="52"/>
      <c r="I127" s="56">
        <f t="shared" si="1"/>
        <v>0</v>
      </c>
      <c r="J127" s="51"/>
      <c r="K127" s="51"/>
      <c r="L127" s="51"/>
      <c r="M127" s="63"/>
      <c r="N127" s="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/>
      <c r="B128" s="54"/>
      <c r="C128" s="55"/>
      <c r="D128" s="55"/>
      <c r="E128" s="51"/>
      <c r="F128" s="55"/>
      <c r="G128" s="55"/>
      <c r="H128" s="52"/>
      <c r="I128" s="56">
        <f t="shared" si="1"/>
        <v>0</v>
      </c>
      <c r="J128" s="51"/>
      <c r="K128" s="51"/>
      <c r="L128" s="51"/>
      <c r="M128" s="63"/>
      <c r="N128" s="1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/>
      <c r="B129" s="54"/>
      <c r="C129" s="55"/>
      <c r="D129" s="55"/>
      <c r="E129" s="51"/>
      <c r="F129" s="55"/>
      <c r="G129" s="55"/>
      <c r="H129" s="52"/>
      <c r="I129" s="56">
        <f t="shared" si="1"/>
        <v>0</v>
      </c>
      <c r="J129" s="51"/>
      <c r="K129" s="51"/>
      <c r="L129" s="51"/>
      <c r="M129" s="63"/>
      <c r="N129" s="1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/>
      <c r="B130" s="54"/>
      <c r="C130" s="55"/>
      <c r="D130" s="55"/>
      <c r="E130" s="51"/>
      <c r="F130" s="55"/>
      <c r="G130" s="55"/>
      <c r="H130" s="52"/>
      <c r="I130" s="56">
        <f t="shared" si="1"/>
        <v>0</v>
      </c>
      <c r="J130" s="64"/>
      <c r="K130" s="51"/>
      <c r="L130" s="51"/>
      <c r="M130" s="63"/>
      <c r="N130" s="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/>
      <c r="B131" s="54"/>
      <c r="C131" s="55"/>
      <c r="D131" s="55"/>
      <c r="E131" s="64"/>
      <c r="F131" s="55"/>
      <c r="G131" s="55"/>
      <c r="H131" s="52"/>
      <c r="I131" s="56">
        <f t="shared" si="1"/>
        <v>0</v>
      </c>
      <c r="J131" s="64"/>
      <c r="K131" s="51"/>
      <c r="L131" s="51"/>
      <c r="M131" s="63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/>
      <c r="B132" s="54"/>
      <c r="C132" s="55"/>
      <c r="D132" s="55"/>
      <c r="E132" s="51"/>
      <c r="F132" s="55"/>
      <c r="G132" s="55"/>
      <c r="H132" s="52"/>
      <c r="I132" s="56">
        <f t="shared" si="1"/>
        <v>0</v>
      </c>
      <c r="J132" s="64"/>
      <c r="K132" s="51"/>
      <c r="L132" s="51"/>
      <c r="M132" s="63"/>
      <c r="N132" s="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/>
      <c r="B133" s="54"/>
      <c r="C133" s="55"/>
      <c r="D133" s="55"/>
      <c r="E133" s="51"/>
      <c r="F133" s="55"/>
      <c r="G133" s="55"/>
      <c r="H133" s="52"/>
      <c r="I133" s="56">
        <f t="shared" si="1"/>
        <v>0</v>
      </c>
      <c r="J133" s="64"/>
      <c r="K133" s="51"/>
      <c r="L133" s="51"/>
      <c r="M133" s="63"/>
      <c r="N133" s="1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/>
      <c r="B134" s="54"/>
      <c r="C134" s="55"/>
      <c r="D134" s="55"/>
      <c r="E134" s="51"/>
      <c r="F134" s="55"/>
      <c r="G134" s="55"/>
      <c r="H134" s="52"/>
      <c r="I134" s="56">
        <f t="shared" si="1"/>
        <v>0</v>
      </c>
      <c r="J134" s="64"/>
      <c r="K134" s="51"/>
      <c r="L134" s="51"/>
      <c r="M134" s="63"/>
      <c r="N134" s="1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/>
      <c r="B135" s="54"/>
      <c r="C135" s="55"/>
      <c r="D135" s="55"/>
      <c r="E135" s="51"/>
      <c r="F135" s="55"/>
      <c r="G135" s="55"/>
      <c r="H135" s="52"/>
      <c r="I135" s="56">
        <f t="shared" si="1"/>
        <v>0</v>
      </c>
      <c r="J135" s="64"/>
      <c r="K135" s="51"/>
      <c r="L135" s="51"/>
      <c r="M135" s="63"/>
      <c r="N135" s="1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/>
      <c r="B136" s="54"/>
      <c r="C136" s="55"/>
      <c r="D136" s="55"/>
      <c r="E136" s="51"/>
      <c r="F136" s="55"/>
      <c r="G136" s="55"/>
      <c r="H136" s="52"/>
      <c r="I136" s="56">
        <f t="shared" si="1"/>
        <v>0</v>
      </c>
      <c r="J136" s="64"/>
      <c r="K136" s="51"/>
      <c r="L136" s="51"/>
      <c r="M136" s="63"/>
      <c r="N136" s="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/>
      <c r="B137" s="54"/>
      <c r="C137" s="55"/>
      <c r="D137" s="55"/>
      <c r="E137" s="51"/>
      <c r="F137" s="55"/>
      <c r="G137" s="55"/>
      <c r="H137" s="52"/>
      <c r="I137" s="56">
        <f t="shared" si="1"/>
        <v>0</v>
      </c>
      <c r="J137" s="51"/>
      <c r="K137" s="51"/>
      <c r="L137" s="51"/>
      <c r="M137" s="63"/>
      <c r="N137" s="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/>
      <c r="B138" s="54"/>
      <c r="C138" s="55"/>
      <c r="D138" s="55"/>
      <c r="E138" s="51"/>
      <c r="F138" s="55"/>
      <c r="G138" s="55"/>
      <c r="H138" s="52"/>
      <c r="I138" s="56">
        <f t="shared" si="1"/>
        <v>0</v>
      </c>
      <c r="J138" s="51"/>
      <c r="K138" s="51"/>
      <c r="L138" s="51"/>
      <c r="M138" s="63"/>
      <c r="N138" s="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/>
      <c r="B139" s="54"/>
      <c r="C139" s="55"/>
      <c r="D139" s="55"/>
      <c r="E139" s="64"/>
      <c r="F139" s="55"/>
      <c r="G139" s="55"/>
      <c r="H139" s="52"/>
      <c r="I139" s="56">
        <f t="shared" si="1"/>
        <v>0</v>
      </c>
      <c r="J139" s="64"/>
      <c r="K139" s="51"/>
      <c r="L139" s="51"/>
      <c r="M139" s="63"/>
      <c r="N139" s="1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/>
      <c r="B140" s="54"/>
      <c r="C140" s="55"/>
      <c r="D140" s="55"/>
      <c r="E140" s="51"/>
      <c r="F140" s="55"/>
      <c r="G140" s="55"/>
      <c r="H140" s="52"/>
      <c r="I140" s="56">
        <f t="shared" si="1"/>
        <v>0</v>
      </c>
      <c r="J140" s="64"/>
      <c r="K140" s="51"/>
      <c r="L140" s="51"/>
      <c r="M140" s="63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/>
      <c r="B141" s="54"/>
      <c r="C141" s="55"/>
      <c r="D141" s="55"/>
      <c r="E141" s="51"/>
      <c r="F141" s="55"/>
      <c r="G141" s="55"/>
      <c r="H141" s="52"/>
      <c r="I141" s="56">
        <f t="shared" si="1"/>
        <v>0</v>
      </c>
      <c r="J141" s="64"/>
      <c r="K141" s="51"/>
      <c r="L141" s="51"/>
      <c r="M141" s="63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/>
      <c r="B142" s="54"/>
      <c r="C142" s="55"/>
      <c r="D142" s="55"/>
      <c r="E142" s="51"/>
      <c r="F142" s="55"/>
      <c r="G142" s="55"/>
      <c r="H142" s="52"/>
      <c r="I142" s="56">
        <f t="shared" si="1"/>
        <v>0</v>
      </c>
      <c r="J142" s="64"/>
      <c r="K142" s="51"/>
      <c r="L142" s="51"/>
      <c r="M142" s="63"/>
      <c r="N142" s="1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/>
      <c r="B143" s="54"/>
      <c r="C143" s="55"/>
      <c r="D143" s="55"/>
      <c r="E143" s="51"/>
      <c r="F143" s="55"/>
      <c r="G143" s="55"/>
      <c r="H143" s="52"/>
      <c r="I143" s="56">
        <f t="shared" si="1"/>
        <v>0</v>
      </c>
      <c r="J143" s="64"/>
      <c r="K143" s="51"/>
      <c r="L143" s="51"/>
      <c r="M143" s="63"/>
      <c r="N143" s="1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/>
      <c r="B144" s="54"/>
      <c r="C144" s="55"/>
      <c r="D144" s="55"/>
      <c r="E144" s="51"/>
      <c r="F144" s="55"/>
      <c r="G144" s="55"/>
      <c r="H144" s="52"/>
      <c r="I144" s="56">
        <f t="shared" si="1"/>
        <v>0</v>
      </c>
      <c r="J144" s="64"/>
      <c r="K144" s="51"/>
      <c r="L144" s="51"/>
      <c r="M144" s="63"/>
      <c r="N144" s="1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/>
      <c r="B145" s="54"/>
      <c r="C145" s="55"/>
      <c r="D145" s="55"/>
      <c r="E145" s="51"/>
      <c r="F145" s="55"/>
      <c r="G145" s="55"/>
      <c r="H145" s="52"/>
      <c r="I145" s="56">
        <f t="shared" si="1"/>
        <v>0</v>
      </c>
      <c r="J145" s="51"/>
      <c r="K145" s="51"/>
      <c r="L145" s="51"/>
      <c r="M145" s="63"/>
      <c r="N145" s="1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/>
      <c r="B146" s="54"/>
      <c r="C146" s="55"/>
      <c r="D146" s="55"/>
      <c r="E146" s="51"/>
      <c r="F146" s="55"/>
      <c r="G146" s="55"/>
      <c r="H146" s="52"/>
      <c r="I146" s="56">
        <f t="shared" si="1"/>
        <v>0</v>
      </c>
      <c r="J146" s="51"/>
      <c r="K146" s="51"/>
      <c r="L146" s="51"/>
      <c r="M146" s="63"/>
      <c r="N146" s="1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/>
      <c r="B147" s="54"/>
      <c r="C147" s="55"/>
      <c r="D147" s="55"/>
      <c r="E147" s="64"/>
      <c r="F147" s="55"/>
      <c r="G147" s="55"/>
      <c r="H147" s="52"/>
      <c r="I147" s="56">
        <f t="shared" si="1"/>
        <v>0</v>
      </c>
      <c r="J147" s="64"/>
      <c r="K147" s="51"/>
      <c r="L147" s="51"/>
      <c r="M147" s="63"/>
      <c r="N147" s="1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/>
      <c r="B148" s="54"/>
      <c r="C148" s="55"/>
      <c r="D148" s="55"/>
      <c r="E148" s="51"/>
      <c r="F148" s="55"/>
      <c r="G148" s="55"/>
      <c r="H148" s="52"/>
      <c r="I148" s="56">
        <f t="shared" si="1"/>
        <v>0</v>
      </c>
      <c r="J148" s="64"/>
      <c r="K148" s="51"/>
      <c r="L148" s="51"/>
      <c r="M148" s="63"/>
      <c r="N148" s="1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/>
      <c r="B149" s="54"/>
      <c r="C149" s="55"/>
      <c r="D149" s="55"/>
      <c r="E149" s="51"/>
      <c r="F149" s="55"/>
      <c r="G149" s="55"/>
      <c r="H149" s="52"/>
      <c r="I149" s="56">
        <f t="shared" si="1"/>
        <v>0</v>
      </c>
      <c r="J149" s="64"/>
      <c r="K149" s="51"/>
      <c r="L149" s="51"/>
      <c r="M149" s="63"/>
      <c r="N149" s="1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/>
      <c r="B150" s="54"/>
      <c r="C150" s="55"/>
      <c r="D150" s="55"/>
      <c r="E150" s="51"/>
      <c r="F150" s="55"/>
      <c r="G150" s="55"/>
      <c r="H150" s="52"/>
      <c r="I150" s="56">
        <f t="shared" si="1"/>
        <v>0</v>
      </c>
      <c r="J150" s="64"/>
      <c r="K150" s="51"/>
      <c r="L150" s="51"/>
      <c r="M150" s="63"/>
      <c r="N150" s="1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/>
      <c r="B151" s="54"/>
      <c r="C151" s="55"/>
      <c r="D151" s="55"/>
      <c r="E151" s="51"/>
      <c r="F151" s="55"/>
      <c r="G151" s="55"/>
      <c r="H151" s="52"/>
      <c r="I151" s="56">
        <f t="shared" si="1"/>
        <v>0</v>
      </c>
      <c r="J151" s="51"/>
      <c r="K151" s="51"/>
      <c r="L151" s="51"/>
      <c r="M151" s="63"/>
      <c r="N151" s="1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/>
      <c r="B152" s="54"/>
      <c r="C152" s="55"/>
      <c r="D152" s="55"/>
      <c r="E152" s="51"/>
      <c r="F152" s="55"/>
      <c r="G152" s="55"/>
      <c r="H152" s="52"/>
      <c r="I152" s="56">
        <f t="shared" si="1"/>
        <v>0</v>
      </c>
      <c r="J152" s="51"/>
      <c r="K152" s="51"/>
      <c r="L152" s="51"/>
      <c r="M152" s="63"/>
      <c r="N152" s="1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/>
      <c r="B153" s="54"/>
      <c r="C153" s="55"/>
      <c r="D153" s="55"/>
      <c r="E153" s="64"/>
      <c r="F153" s="55"/>
      <c r="G153" s="55"/>
      <c r="H153" s="52"/>
      <c r="I153" s="56">
        <f t="shared" si="1"/>
        <v>0</v>
      </c>
      <c r="J153" s="64"/>
      <c r="K153" s="51"/>
      <c r="L153" s="51"/>
      <c r="M153" s="63"/>
      <c r="N153" s="1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/>
      <c r="B154" s="54"/>
      <c r="C154" s="55"/>
      <c r="D154" s="55"/>
      <c r="E154" s="51"/>
      <c r="F154" s="55"/>
      <c r="G154" s="55"/>
      <c r="H154" s="52"/>
      <c r="I154" s="56">
        <f t="shared" si="1"/>
        <v>0</v>
      </c>
      <c r="J154" s="64"/>
      <c r="K154" s="51"/>
      <c r="L154" s="51"/>
      <c r="M154" s="63"/>
      <c r="N154" s="1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/>
      <c r="B155" s="54"/>
      <c r="C155" s="55"/>
      <c r="D155" s="55"/>
      <c r="E155" s="51"/>
      <c r="F155" s="55"/>
      <c r="G155" s="55"/>
      <c r="H155" s="52"/>
      <c r="I155" s="56">
        <f t="shared" si="1"/>
        <v>0</v>
      </c>
      <c r="J155" s="64"/>
      <c r="K155" s="51"/>
      <c r="L155" s="51"/>
      <c r="M155" s="63"/>
      <c r="N155" s="1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/>
      <c r="B156" s="54"/>
      <c r="C156" s="55"/>
      <c r="D156" s="55"/>
      <c r="E156" s="51"/>
      <c r="F156" s="55"/>
      <c r="G156" s="55"/>
      <c r="H156" s="52"/>
      <c r="I156" s="56">
        <f t="shared" si="1"/>
        <v>0</v>
      </c>
      <c r="J156" s="64"/>
      <c r="K156" s="51"/>
      <c r="L156" s="51"/>
      <c r="M156" s="63"/>
      <c r="N156" s="1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/>
      <c r="B157" s="54"/>
      <c r="C157" s="55"/>
      <c r="D157" s="55"/>
      <c r="E157" s="51"/>
      <c r="F157" s="55"/>
      <c r="G157" s="55"/>
      <c r="H157" s="52"/>
      <c r="I157" s="56">
        <f t="shared" si="1"/>
        <v>0</v>
      </c>
      <c r="J157" s="64"/>
      <c r="K157" s="51"/>
      <c r="L157" s="51"/>
      <c r="M157" s="63"/>
      <c r="N157" s="1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/>
      <c r="B158" s="54"/>
      <c r="C158" s="55"/>
      <c r="D158" s="55"/>
      <c r="E158" s="51"/>
      <c r="F158" s="55"/>
      <c r="G158" s="55"/>
      <c r="H158" s="52"/>
      <c r="I158" s="56">
        <f t="shared" si="1"/>
        <v>0</v>
      </c>
      <c r="J158" s="64"/>
      <c r="K158" s="51"/>
      <c r="L158" s="51"/>
      <c r="M158" s="63"/>
      <c r="N158" s="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/>
      <c r="B159" s="54"/>
      <c r="C159" s="55"/>
      <c r="D159" s="55"/>
      <c r="E159" s="51"/>
      <c r="F159" s="55"/>
      <c r="G159" s="55"/>
      <c r="H159" s="52"/>
      <c r="I159" s="56">
        <f t="shared" si="1"/>
        <v>0</v>
      </c>
      <c r="J159" s="51"/>
      <c r="K159" s="51"/>
      <c r="L159" s="51"/>
      <c r="M159" s="63"/>
      <c r="N159" s="1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/>
      <c r="B160" s="54"/>
      <c r="C160" s="55"/>
      <c r="D160" s="55"/>
      <c r="E160" s="51"/>
      <c r="F160" s="55"/>
      <c r="G160" s="55"/>
      <c r="H160" s="52"/>
      <c r="I160" s="56">
        <f t="shared" si="1"/>
        <v>0</v>
      </c>
      <c r="J160" s="51"/>
      <c r="K160" s="51"/>
      <c r="L160" s="51"/>
      <c r="M160" s="63"/>
      <c r="N160" s="1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/>
      <c r="B161" s="54"/>
      <c r="C161" s="55"/>
      <c r="D161" s="55"/>
      <c r="E161" s="64"/>
      <c r="F161" s="55"/>
      <c r="G161" s="55"/>
      <c r="H161" s="52"/>
      <c r="I161" s="56">
        <f t="shared" si="1"/>
        <v>0</v>
      </c>
      <c r="J161" s="64"/>
      <c r="K161" s="51"/>
      <c r="L161" s="51"/>
      <c r="M161" s="63"/>
      <c r="N161" s="1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/>
      <c r="B162" s="54"/>
      <c r="C162" s="55"/>
      <c r="D162" s="55"/>
      <c r="E162" s="51"/>
      <c r="F162" s="55"/>
      <c r="G162" s="55"/>
      <c r="H162" s="52"/>
      <c r="I162" s="56">
        <f t="shared" si="1"/>
        <v>0</v>
      </c>
      <c r="J162" s="64"/>
      <c r="K162" s="51"/>
      <c r="L162" s="51"/>
      <c r="M162" s="63"/>
      <c r="N162" s="1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/>
      <c r="B163" s="54"/>
      <c r="C163" s="55"/>
      <c r="D163" s="55"/>
      <c r="E163" s="51"/>
      <c r="F163" s="55"/>
      <c r="G163" s="55"/>
      <c r="H163" s="52"/>
      <c r="I163" s="56">
        <f t="shared" si="1"/>
        <v>0</v>
      </c>
      <c r="J163" s="64"/>
      <c r="K163" s="51"/>
      <c r="L163" s="51"/>
      <c r="M163" s="63"/>
      <c r="N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/>
      <c r="B164" s="54"/>
      <c r="C164" s="55"/>
      <c r="D164" s="55"/>
      <c r="E164" s="51"/>
      <c r="F164" s="55"/>
      <c r="G164" s="55"/>
      <c r="H164" s="52"/>
      <c r="I164" s="56">
        <f t="shared" si="1"/>
        <v>0</v>
      </c>
      <c r="J164" s="64"/>
      <c r="K164" s="51"/>
      <c r="L164" s="51"/>
      <c r="M164" s="63"/>
      <c r="N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/>
      <c r="B165" s="54"/>
      <c r="C165" s="55"/>
      <c r="D165" s="55"/>
      <c r="E165" s="51"/>
      <c r="F165" s="55"/>
      <c r="G165" s="55"/>
      <c r="H165" s="52"/>
      <c r="I165" s="56">
        <f t="shared" si="1"/>
        <v>0</v>
      </c>
      <c r="J165" s="51"/>
      <c r="K165" s="51"/>
      <c r="L165" s="51"/>
      <c r="M165" s="63"/>
      <c r="N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/>
      <c r="B166" s="54"/>
      <c r="C166" s="55"/>
      <c r="D166" s="55"/>
      <c r="E166" s="51"/>
      <c r="F166" s="55"/>
      <c r="G166" s="55"/>
      <c r="H166" s="52"/>
      <c r="I166" s="56">
        <f t="shared" si="1"/>
        <v>0</v>
      </c>
      <c r="J166" s="51"/>
      <c r="K166" s="51"/>
      <c r="L166" s="51"/>
      <c r="M166" s="63"/>
      <c r="N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/>
      <c r="B167" s="54"/>
      <c r="C167" s="55"/>
      <c r="D167" s="55"/>
      <c r="E167" s="64"/>
      <c r="F167" s="55"/>
      <c r="G167" s="55"/>
      <c r="H167" s="52"/>
      <c r="I167" s="56">
        <f t="shared" si="1"/>
        <v>0</v>
      </c>
      <c r="J167" s="64"/>
      <c r="K167" s="51"/>
      <c r="L167" s="51"/>
      <c r="M167" s="63"/>
      <c r="N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/>
      <c r="B168" s="54"/>
      <c r="C168" s="55"/>
      <c r="D168" s="55"/>
      <c r="E168" s="51"/>
      <c r="F168" s="55"/>
      <c r="G168" s="55"/>
      <c r="H168" s="52"/>
      <c r="I168" s="56">
        <f t="shared" si="1"/>
        <v>0</v>
      </c>
      <c r="J168" s="64"/>
      <c r="K168" s="51"/>
      <c r="L168" s="51"/>
      <c r="M168" s="63"/>
      <c r="N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/>
      <c r="B169" s="54"/>
      <c r="C169" s="55"/>
      <c r="D169" s="55"/>
      <c r="E169" s="51"/>
      <c r="F169" s="55"/>
      <c r="G169" s="55"/>
      <c r="H169" s="52"/>
      <c r="I169" s="56">
        <f t="shared" si="1"/>
        <v>0</v>
      </c>
      <c r="J169" s="64"/>
      <c r="K169" s="51"/>
      <c r="L169" s="51"/>
      <c r="M169" s="63"/>
      <c r="N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/>
      <c r="B170" s="54"/>
      <c r="C170" s="55"/>
      <c r="D170" s="55"/>
      <c r="E170" s="51"/>
      <c r="F170" s="55"/>
      <c r="G170" s="55"/>
      <c r="H170" s="52"/>
      <c r="I170" s="56">
        <f t="shared" si="1"/>
        <v>0</v>
      </c>
      <c r="J170" s="64"/>
      <c r="K170" s="51"/>
      <c r="L170" s="51"/>
      <c r="M170" s="63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/>
      <c r="B171" s="54"/>
      <c r="C171" s="55"/>
      <c r="D171" s="55"/>
      <c r="E171" s="51"/>
      <c r="F171" s="55"/>
      <c r="G171" s="55"/>
      <c r="H171" s="52"/>
      <c r="I171" s="56">
        <f t="shared" si="1"/>
        <v>0</v>
      </c>
      <c r="J171" s="64"/>
      <c r="K171" s="51"/>
      <c r="L171" s="51"/>
      <c r="M171" s="63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/>
      <c r="B172" s="54"/>
      <c r="C172" s="55"/>
      <c r="D172" s="55"/>
      <c r="E172" s="51"/>
      <c r="F172" s="55"/>
      <c r="G172" s="55"/>
      <c r="H172" s="52"/>
      <c r="I172" s="56">
        <f t="shared" si="1"/>
        <v>0</v>
      </c>
      <c r="J172" s="64"/>
      <c r="K172" s="51"/>
      <c r="L172" s="51"/>
      <c r="M172" s="63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/>
      <c r="B173" s="54"/>
      <c r="C173" s="55"/>
      <c r="D173" s="55"/>
      <c r="E173" s="51"/>
      <c r="F173" s="55"/>
      <c r="G173" s="55"/>
      <c r="H173" s="52"/>
      <c r="I173" s="56">
        <f t="shared" si="1"/>
        <v>0</v>
      </c>
      <c r="J173" s="51"/>
      <c r="K173" s="51"/>
      <c r="L173" s="51"/>
      <c r="M173" s="63"/>
      <c r="N173" s="1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/>
      <c r="B174" s="54"/>
      <c r="C174" s="55"/>
      <c r="D174" s="55"/>
      <c r="E174" s="51"/>
      <c r="F174" s="55"/>
      <c r="G174" s="55"/>
      <c r="H174" s="52"/>
      <c r="I174" s="56">
        <f t="shared" si="1"/>
        <v>0</v>
      </c>
      <c r="J174" s="51"/>
      <c r="K174" s="51"/>
      <c r="L174" s="51"/>
      <c r="M174" s="63"/>
      <c r="N174" s="1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/>
      <c r="B175" s="54"/>
      <c r="C175" s="55"/>
      <c r="D175" s="55"/>
      <c r="E175" s="64"/>
      <c r="F175" s="55"/>
      <c r="G175" s="55"/>
      <c r="H175" s="52"/>
      <c r="I175" s="56">
        <f t="shared" si="1"/>
        <v>0</v>
      </c>
      <c r="J175" s="64"/>
      <c r="K175" s="51"/>
      <c r="L175" s="51"/>
      <c r="M175" s="63"/>
      <c r="N175" s="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/>
      <c r="B176" s="54"/>
      <c r="C176" s="55"/>
      <c r="D176" s="55"/>
      <c r="E176" s="51"/>
      <c r="F176" s="55"/>
      <c r="G176" s="55"/>
      <c r="H176" s="52"/>
      <c r="I176" s="56">
        <f t="shared" si="1"/>
        <v>0</v>
      </c>
      <c r="J176" s="64"/>
      <c r="K176" s="51"/>
      <c r="L176" s="51"/>
      <c r="M176" s="63"/>
      <c r="N176" s="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/>
      <c r="B177" s="54"/>
      <c r="C177" s="55"/>
      <c r="D177" s="55"/>
      <c r="E177" s="51"/>
      <c r="F177" s="55"/>
      <c r="G177" s="55"/>
      <c r="H177" s="52"/>
      <c r="I177" s="56">
        <f t="shared" si="1"/>
        <v>0</v>
      </c>
      <c r="J177" s="64"/>
      <c r="K177" s="51"/>
      <c r="L177" s="51"/>
      <c r="M177" s="63"/>
      <c r="N177" s="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/>
      <c r="B178" s="54"/>
      <c r="C178" s="55"/>
      <c r="D178" s="55"/>
      <c r="E178" s="51"/>
      <c r="F178" s="55"/>
      <c r="G178" s="55"/>
      <c r="H178" s="52"/>
      <c r="I178" s="56">
        <f t="shared" si="1"/>
        <v>0</v>
      </c>
      <c r="J178" s="64"/>
      <c r="K178" s="51"/>
      <c r="L178" s="51"/>
      <c r="M178" s="63"/>
      <c r="N178" s="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/>
      <c r="B179" s="54"/>
      <c r="C179" s="55"/>
      <c r="D179" s="55"/>
      <c r="E179" s="51"/>
      <c r="F179" s="55"/>
      <c r="G179" s="55"/>
      <c r="H179" s="52"/>
      <c r="I179" s="56">
        <f t="shared" si="1"/>
        <v>0</v>
      </c>
      <c r="J179" s="51"/>
      <c r="K179" s="51"/>
      <c r="L179" s="51"/>
      <c r="M179" s="63"/>
      <c r="N179" s="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/>
      <c r="B180" s="54"/>
      <c r="C180" s="55"/>
      <c r="D180" s="55"/>
      <c r="E180" s="51"/>
      <c r="F180" s="55"/>
      <c r="G180" s="55"/>
      <c r="H180" s="52"/>
      <c r="I180" s="56">
        <f t="shared" si="1"/>
        <v>0</v>
      </c>
      <c r="J180" s="51"/>
      <c r="K180" s="51"/>
      <c r="L180" s="51"/>
      <c r="M180" s="63"/>
      <c r="N180" s="1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/>
      <c r="B181" s="54"/>
      <c r="C181" s="55"/>
      <c r="D181" s="55"/>
      <c r="E181" s="64"/>
      <c r="F181" s="55"/>
      <c r="G181" s="55"/>
      <c r="H181" s="52"/>
      <c r="I181" s="56">
        <f t="shared" si="1"/>
        <v>0</v>
      </c>
      <c r="J181" s="64"/>
      <c r="K181" s="51"/>
      <c r="L181" s="51"/>
      <c r="M181" s="63"/>
      <c r="N181" s="1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/>
      <c r="B182" s="54"/>
      <c r="C182" s="55"/>
      <c r="D182" s="55"/>
      <c r="E182" s="51"/>
      <c r="F182" s="55"/>
      <c r="G182" s="55"/>
      <c r="H182" s="52"/>
      <c r="I182" s="56">
        <f t="shared" si="1"/>
        <v>0</v>
      </c>
      <c r="J182" s="64"/>
      <c r="K182" s="51"/>
      <c r="L182" s="51"/>
      <c r="M182" s="63"/>
      <c r="N182" s="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/>
      <c r="B183" s="54"/>
      <c r="C183" s="55"/>
      <c r="D183" s="55"/>
      <c r="E183" s="51"/>
      <c r="F183" s="55"/>
      <c r="G183" s="55"/>
      <c r="H183" s="52"/>
      <c r="I183" s="56">
        <f t="shared" si="1"/>
        <v>0</v>
      </c>
      <c r="J183" s="64"/>
      <c r="K183" s="51"/>
      <c r="L183" s="51"/>
      <c r="M183" s="63"/>
      <c r="N183" s="1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/>
      <c r="B184" s="54"/>
      <c r="C184" s="55"/>
      <c r="D184" s="55"/>
      <c r="E184" s="51"/>
      <c r="F184" s="55"/>
      <c r="G184" s="55"/>
      <c r="H184" s="52"/>
      <c r="I184" s="56">
        <f t="shared" si="1"/>
        <v>0</v>
      </c>
      <c r="J184" s="64"/>
      <c r="K184" s="51"/>
      <c r="L184" s="51"/>
      <c r="M184" s="63"/>
      <c r="N184" s="1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/>
      <c r="B185" s="54"/>
      <c r="C185" s="55"/>
      <c r="D185" s="55"/>
      <c r="E185" s="51"/>
      <c r="F185" s="55"/>
      <c r="G185" s="55"/>
      <c r="H185" s="52"/>
      <c r="I185" s="56">
        <f t="shared" si="1"/>
        <v>0</v>
      </c>
      <c r="J185" s="64"/>
      <c r="K185" s="51"/>
      <c r="L185" s="51"/>
      <c r="M185" s="63"/>
      <c r="N185" s="1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/>
      <c r="B186" s="54"/>
      <c r="C186" s="55"/>
      <c r="D186" s="55"/>
      <c r="E186" s="51"/>
      <c r="F186" s="55"/>
      <c r="G186" s="55"/>
      <c r="H186" s="52"/>
      <c r="I186" s="56">
        <f t="shared" si="1"/>
        <v>0</v>
      </c>
      <c r="J186" s="64"/>
      <c r="K186" s="51"/>
      <c r="L186" s="51"/>
      <c r="M186" s="63"/>
      <c r="N186" s="1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/>
      <c r="B187" s="54"/>
      <c r="C187" s="55"/>
      <c r="D187" s="55"/>
      <c r="E187" s="51"/>
      <c r="F187" s="55"/>
      <c r="G187" s="55"/>
      <c r="H187" s="52"/>
      <c r="I187" s="56">
        <f t="shared" si="1"/>
        <v>0</v>
      </c>
      <c r="J187" s="51"/>
      <c r="K187" s="51"/>
      <c r="L187" s="51"/>
      <c r="M187" s="63"/>
      <c r="N187" s="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/>
      <c r="B188" s="54"/>
      <c r="C188" s="55"/>
      <c r="D188" s="55"/>
      <c r="E188" s="51"/>
      <c r="F188" s="55"/>
      <c r="G188" s="55"/>
      <c r="H188" s="52"/>
      <c r="I188" s="56">
        <f t="shared" si="1"/>
        <v>0</v>
      </c>
      <c r="J188" s="51"/>
      <c r="K188" s="51"/>
      <c r="L188" s="51"/>
      <c r="M188" s="63"/>
      <c r="N188" s="1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/>
      <c r="B189" s="54"/>
      <c r="C189" s="55"/>
      <c r="D189" s="55"/>
      <c r="E189" s="64"/>
      <c r="F189" s="55"/>
      <c r="G189" s="55"/>
      <c r="H189" s="52"/>
      <c r="I189" s="56">
        <f t="shared" si="1"/>
        <v>0</v>
      </c>
      <c r="J189" s="64"/>
      <c r="K189" s="51"/>
      <c r="L189" s="51"/>
      <c r="M189" s="63"/>
      <c r="N189" s="1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/>
      <c r="B190" s="54"/>
      <c r="C190" s="55"/>
      <c r="D190" s="55"/>
      <c r="E190" s="51"/>
      <c r="F190" s="55"/>
      <c r="G190" s="55"/>
      <c r="H190" s="52"/>
      <c r="I190" s="56">
        <f t="shared" si="1"/>
        <v>0</v>
      </c>
      <c r="J190" s="64"/>
      <c r="K190" s="51"/>
      <c r="L190" s="51"/>
      <c r="M190" s="63"/>
      <c r="N190" s="1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/>
      <c r="B191" s="54"/>
      <c r="C191" s="55"/>
      <c r="D191" s="55"/>
      <c r="E191" s="51"/>
      <c r="F191" s="55"/>
      <c r="G191" s="55"/>
      <c r="H191" s="52"/>
      <c r="I191" s="56">
        <f t="shared" si="1"/>
        <v>0</v>
      </c>
      <c r="J191" s="64"/>
      <c r="K191" s="51"/>
      <c r="L191" s="51"/>
      <c r="M191" s="63"/>
      <c r="N191" s="1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/>
      <c r="B192" s="54"/>
      <c r="C192" s="55"/>
      <c r="D192" s="55"/>
      <c r="E192" s="51"/>
      <c r="F192" s="55"/>
      <c r="G192" s="55"/>
      <c r="H192" s="52"/>
      <c r="I192" s="56">
        <f t="shared" si="1"/>
        <v>0</v>
      </c>
      <c r="J192" s="64"/>
      <c r="K192" s="51"/>
      <c r="L192" s="51"/>
      <c r="M192" s="63"/>
      <c r="N192" s="1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1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1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1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1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1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1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1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1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1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1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1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1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1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1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1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1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1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1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1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1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1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1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1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1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1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1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1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1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1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1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1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1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1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1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1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1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1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1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1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1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1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1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1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1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1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1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1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1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1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1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1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1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1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1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1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1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1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1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1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1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1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1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1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1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1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1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1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1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1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1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1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1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1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1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1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1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1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1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1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1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1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1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1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1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1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1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1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1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1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1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1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1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1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1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1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1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1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1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1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1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1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1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1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1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1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1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1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1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1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1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1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1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1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1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1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1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1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1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1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1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1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1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1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1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1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1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1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1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1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1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1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1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1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1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1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1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1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1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1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1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1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1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1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1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1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1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1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1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1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1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1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1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1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1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1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1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1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1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1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1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1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1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1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1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1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1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1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1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1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1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1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1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1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1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1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1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1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1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1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1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1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1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1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1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1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1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1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1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1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1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1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1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1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1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1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1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1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1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1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1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1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1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1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1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1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1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1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1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1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1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1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1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1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1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1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1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1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1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1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1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1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1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1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1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1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1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1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1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1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1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1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1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1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1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1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1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1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1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1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1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1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1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1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1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1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1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1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1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1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1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1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1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1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1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1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1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1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1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1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1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1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1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1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1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1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1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1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1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1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1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1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1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1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1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1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1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1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1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1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1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1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1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1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1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1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1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1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1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1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1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1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1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1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1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1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1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1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1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1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1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1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1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1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1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1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1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1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1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1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1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1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1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1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1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1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1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1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1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1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1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1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1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1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1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1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1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1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1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1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1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1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1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1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1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1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1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1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1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1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1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1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1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1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">
    <mergeCell ref="B3:B5"/>
    <mergeCell ref="C3:E3"/>
  </mergeCells>
  <dataValidations>
    <dataValidation type="custom" allowBlank="1" showDropDown="1" showInputMessage="1" prompt="Enter a valid date" sqref="B58:B62 B65:B192">
      <formula1>OR(NOT(ISERROR(DATEVALUE(B58))), AND(ISNUMBER(B58), LEFT(CELL("format", B58))="D"))</formula1>
    </dataValidation>
    <dataValidation type="list" allowBlank="1" showErrorMessage="1" sqref="H62 H69:H192">
      <formula1>"High,Medium,Low"</formula1>
    </dataValidation>
    <dataValidation type="list" allowBlank="1" showErrorMessage="1" sqref="M9:M24 M27:M192">
      <formula1>"Completed,In-Progress "</formula1>
    </dataValidation>
  </dataValidations>
  <drawing r:id="rId1"/>
</worksheet>
</file>